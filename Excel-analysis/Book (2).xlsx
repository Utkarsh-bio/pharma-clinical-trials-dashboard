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/>
  <xr:revisionPtr revIDLastSave="0" documentId="8_{D4DFD231-D653-48ED-A1F8-07DE073FE55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5" sheetId="5" state="hidden" r:id="rId1"/>
    <sheet name="Sheet12" sheetId="13" r:id="rId2"/>
    <sheet name="Sheet13" sheetId="14" r:id="rId3"/>
    <sheet name="Sheet14" sheetId="15" r:id="rId4"/>
    <sheet name="Sheet1" sheetId="17" r:id="rId5"/>
    <sheet name="Dashboard" sheetId="18" r:id="rId6"/>
  </sheets>
  <definedNames>
    <definedName name="Slicer_sponsor">#N/A</definedName>
  </definedNames>
  <calcPr calcId="191028"/>
  <pivotCaches>
    <pivotCache cacheId="924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M463" i="13"/>
  <c r="M464" i="13"/>
  <c r="M465" i="13"/>
  <c r="M466" i="13"/>
  <c r="M467" i="13"/>
  <c r="M468" i="13"/>
  <c r="M469" i="13"/>
  <c r="M470" i="13"/>
  <c r="M471" i="13"/>
  <c r="M472" i="13"/>
  <c r="M473" i="13"/>
  <c r="M474" i="13"/>
  <c r="M475" i="13"/>
  <c r="M476" i="13"/>
  <c r="M477" i="13"/>
  <c r="M478" i="13"/>
  <c r="M479" i="13"/>
  <c r="M480" i="13"/>
  <c r="M481" i="13"/>
  <c r="M482" i="13"/>
  <c r="M483" i="13"/>
  <c r="M484" i="13"/>
  <c r="M485" i="13"/>
  <c r="M486" i="13"/>
  <c r="M487" i="13"/>
  <c r="M488" i="13"/>
  <c r="M489" i="13"/>
  <c r="M490" i="13"/>
  <c r="M491" i="13"/>
  <c r="M492" i="13"/>
  <c r="M493" i="13"/>
  <c r="M494" i="13"/>
  <c r="M495" i="13"/>
  <c r="M496" i="13"/>
  <c r="M497" i="13"/>
  <c r="M498" i="13"/>
  <c r="M499" i="13"/>
  <c r="M500" i="13"/>
  <c r="M501" i="13"/>
  <c r="M502" i="13"/>
  <c r="M503" i="13"/>
  <c r="M504" i="13"/>
  <c r="M505" i="13"/>
  <c r="M506" i="13"/>
  <c r="M507" i="13"/>
  <c r="M508" i="13"/>
  <c r="M509" i="13"/>
  <c r="M510" i="13"/>
  <c r="M511" i="13"/>
  <c r="M512" i="13"/>
  <c r="M513" i="13"/>
  <c r="M514" i="13"/>
  <c r="M515" i="13"/>
  <c r="M516" i="13"/>
  <c r="M517" i="13"/>
  <c r="M518" i="13"/>
  <c r="M519" i="13"/>
  <c r="M520" i="13"/>
  <c r="M521" i="13"/>
  <c r="M522" i="13"/>
  <c r="M523" i="13"/>
  <c r="M524" i="13"/>
  <c r="M525" i="13"/>
  <c r="M526" i="13"/>
  <c r="M527" i="13"/>
  <c r="M528" i="13"/>
  <c r="M529" i="13"/>
  <c r="M530" i="13"/>
  <c r="M531" i="13"/>
  <c r="M532" i="13"/>
  <c r="M533" i="13"/>
  <c r="M534" i="13"/>
  <c r="M535" i="13"/>
  <c r="M536" i="13"/>
  <c r="M537" i="13"/>
  <c r="M538" i="13"/>
  <c r="M539" i="13"/>
  <c r="M540" i="13"/>
  <c r="M541" i="13"/>
  <c r="M542" i="13"/>
  <c r="M543" i="13"/>
  <c r="M544" i="13"/>
  <c r="M545" i="13"/>
  <c r="M546" i="13"/>
  <c r="M547" i="13"/>
  <c r="M548" i="13"/>
  <c r="M549" i="13"/>
  <c r="M550" i="13"/>
  <c r="M551" i="13"/>
  <c r="M552" i="13"/>
  <c r="M553" i="13"/>
  <c r="M554" i="13"/>
  <c r="M555" i="13"/>
  <c r="M556" i="13"/>
  <c r="M557" i="13"/>
  <c r="M558" i="13"/>
  <c r="M559" i="13"/>
  <c r="M560" i="13"/>
  <c r="M561" i="13"/>
  <c r="M562" i="13"/>
  <c r="M563" i="13"/>
  <c r="M564" i="13"/>
  <c r="M565" i="13"/>
  <c r="M566" i="13"/>
  <c r="M567" i="13"/>
  <c r="M568" i="13"/>
  <c r="M569" i="13"/>
  <c r="M570" i="13"/>
  <c r="M571" i="13"/>
  <c r="M572" i="13"/>
  <c r="M573" i="13"/>
  <c r="M574" i="13"/>
  <c r="M575" i="13"/>
  <c r="M576" i="13"/>
  <c r="M577" i="13"/>
  <c r="M578" i="13"/>
  <c r="M579" i="13"/>
  <c r="M580" i="13"/>
  <c r="M581" i="13"/>
  <c r="M582" i="13"/>
  <c r="M583" i="13"/>
  <c r="M584" i="13"/>
  <c r="M585" i="13"/>
  <c r="M586" i="13"/>
  <c r="M587" i="13"/>
  <c r="M588" i="13"/>
  <c r="M589" i="13"/>
  <c r="M590" i="13"/>
  <c r="M591" i="13"/>
  <c r="M592" i="13"/>
  <c r="M593" i="13"/>
  <c r="M594" i="13"/>
  <c r="M595" i="13"/>
  <c r="M596" i="13"/>
  <c r="M597" i="13"/>
  <c r="M598" i="13"/>
  <c r="M599" i="13"/>
  <c r="M600" i="13"/>
  <c r="M2" i="13"/>
  <c r="B29" i="18"/>
  <c r="B27" i="18" a="1"/>
  <c r="B27" i="18"/>
  <c r="B26" i="18"/>
  <c r="B25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<sst xmlns="http://schemas.openxmlformats.org/spreadsheetml/2006/main" count="3365" uniqueCount="954">
  <si>
    <t>data validation</t>
  </si>
  <si>
    <t>select from a list, check for dates,numbers between certain value &amp; specific text length</t>
  </si>
  <si>
    <t>do</t>
  </si>
  <si>
    <t>project start dates</t>
  </si>
  <si>
    <t>project number</t>
  </si>
  <si>
    <t>company code</t>
  </si>
  <si>
    <t>dod</t>
  </si>
  <si>
    <t>function</t>
  </si>
  <si>
    <t>trial_id</t>
  </si>
  <si>
    <t>completion_date</t>
  </si>
  <si>
    <t>year</t>
  </si>
  <si>
    <t>sponsor</t>
  </si>
  <si>
    <t>therapy_area</t>
  </si>
  <si>
    <t>phase</t>
  </si>
  <si>
    <t>enrollment_n</t>
  </si>
  <si>
    <t>duration_months</t>
  </si>
  <si>
    <t>outcome</t>
  </si>
  <si>
    <t>is_success</t>
  </si>
  <si>
    <t>is_failure</t>
  </si>
  <si>
    <t>estimated_stock_impact_pct</t>
  </si>
  <si>
    <t>Risk Level</t>
  </si>
  <si>
    <t>NCT00000024</t>
  </si>
  <si>
    <t>BioNTech</t>
  </si>
  <si>
    <t>neurology</t>
  </si>
  <si>
    <t>Phase 2</t>
  </si>
  <si>
    <t>Met primary endpoint</t>
  </si>
  <si>
    <t>NCT00000015</t>
  </si>
  <si>
    <t>15-02-2010</t>
  </si>
  <si>
    <t>Pfizer</t>
  </si>
  <si>
    <t>metabolic</t>
  </si>
  <si>
    <t>Mixed results</t>
  </si>
  <si>
    <t>NCT00000013</t>
  </si>
  <si>
    <t>27-02-2010</t>
  </si>
  <si>
    <t>GSK</t>
  </si>
  <si>
    <t>oncology</t>
  </si>
  <si>
    <t>Failed primary endpoint</t>
  </si>
  <si>
    <t>NCT00000022</t>
  </si>
  <si>
    <t>Takeda</t>
  </si>
  <si>
    <t>infectious</t>
  </si>
  <si>
    <t>NCT00000019</t>
  </si>
  <si>
    <t>Novo Nordisk</t>
  </si>
  <si>
    <t>Phase 3</t>
  </si>
  <si>
    <t>NCT00000021</t>
  </si>
  <si>
    <t>27-04-2010</t>
  </si>
  <si>
    <t>Bayer</t>
  </si>
  <si>
    <t>NCT00000011</t>
  </si>
  <si>
    <t>Vertex</t>
  </si>
  <si>
    <t>cardiovascular</t>
  </si>
  <si>
    <t>NCT00000014</t>
  </si>
  <si>
    <t>NCT00000003</t>
  </si>
  <si>
    <t>17-05-2010</t>
  </si>
  <si>
    <t>Eli Lilly</t>
  </si>
  <si>
    <t>NCT00000028</t>
  </si>
  <si>
    <t>19-06-2010</t>
  </si>
  <si>
    <t>respiratory</t>
  </si>
  <si>
    <t>NCT00000006</t>
  </si>
  <si>
    <t>NCT00000017</t>
  </si>
  <si>
    <t>21-06-2010</t>
  </si>
  <si>
    <t>Roche</t>
  </si>
  <si>
    <t>NCT00000034</t>
  </si>
  <si>
    <t>25-06-2010</t>
  </si>
  <si>
    <t>NCT00000009</t>
  </si>
  <si>
    <t>26-06-2010</t>
  </si>
  <si>
    <t>gastrointestinal</t>
  </si>
  <si>
    <t>NCT00000016</t>
  </si>
  <si>
    <t>NCT00000012</t>
  </si>
  <si>
    <t>Merck</t>
  </si>
  <si>
    <t>NCT00000005</t>
  </si>
  <si>
    <t>BMS</t>
  </si>
  <si>
    <t>NCT00000029</t>
  </si>
  <si>
    <t>NCT00000032</t>
  </si>
  <si>
    <t>25-07-2010</t>
  </si>
  <si>
    <t>NCT00000020</t>
  </si>
  <si>
    <t>NCT00000023</t>
  </si>
  <si>
    <t>15-08-2010</t>
  </si>
  <si>
    <t>J&amp;J</t>
  </si>
  <si>
    <t>immunology</t>
  </si>
  <si>
    <t>NCT00000002</t>
  </si>
  <si>
    <t>psychiatry</t>
  </si>
  <si>
    <t>NCT00000027</t>
  </si>
  <si>
    <t>17-08-2010</t>
  </si>
  <si>
    <t>NCT00000030</t>
  </si>
  <si>
    <t>18-08-2010</t>
  </si>
  <si>
    <t>rare_disease</t>
  </si>
  <si>
    <t>NCT00000018</t>
  </si>
  <si>
    <t>22-08-2010</t>
  </si>
  <si>
    <t>NCT00000025</t>
  </si>
  <si>
    <t>17-09-2010</t>
  </si>
  <si>
    <t>NCT00000026</t>
  </si>
  <si>
    <t>21-09-2010</t>
  </si>
  <si>
    <t>NCT00000004</t>
  </si>
  <si>
    <t>NCT00000007</t>
  </si>
  <si>
    <t>17-10-2010</t>
  </si>
  <si>
    <t>NCT00000001</t>
  </si>
  <si>
    <t>27-10-2010</t>
  </si>
  <si>
    <t>NCT00000033</t>
  </si>
  <si>
    <t>Novartis</t>
  </si>
  <si>
    <t>NCT00000031</t>
  </si>
  <si>
    <t>15-11-2010</t>
  </si>
  <si>
    <t>NCT00000010</t>
  </si>
  <si>
    <t>16-11-2010</t>
  </si>
  <si>
    <t>Moderna</t>
  </si>
  <si>
    <t>NCT00000008</t>
  </si>
  <si>
    <t>NCT00000058</t>
  </si>
  <si>
    <t>NCT00000038</t>
  </si>
  <si>
    <t>NCT00000039</t>
  </si>
  <si>
    <t>20-01-2011</t>
  </si>
  <si>
    <t>Gilead</t>
  </si>
  <si>
    <t>NCT00000055</t>
  </si>
  <si>
    <t>27-01-2011</t>
  </si>
  <si>
    <t>NCT00000045</t>
  </si>
  <si>
    <t>NCT00000046</t>
  </si>
  <si>
    <t>Sanofi</t>
  </si>
  <si>
    <t>NCT00000050</t>
  </si>
  <si>
    <t>19-02-2011</t>
  </si>
  <si>
    <t>AstraZeneca</t>
  </si>
  <si>
    <t>NCT00000060</t>
  </si>
  <si>
    <t>23-02-2011</t>
  </si>
  <si>
    <t>NCT00000037</t>
  </si>
  <si>
    <t>24-02-2011</t>
  </si>
  <si>
    <t>NCT00000054</t>
  </si>
  <si>
    <t>NCT00000061</t>
  </si>
  <si>
    <t>NCT00000065</t>
  </si>
  <si>
    <t>18-03-2011</t>
  </si>
  <si>
    <t>NCT00000062</t>
  </si>
  <si>
    <t>NCT00000072</t>
  </si>
  <si>
    <t>NCT00000047</t>
  </si>
  <si>
    <t>24-04-2011</t>
  </si>
  <si>
    <t>NCT00000042</t>
  </si>
  <si>
    <t>NCT00000056</t>
  </si>
  <si>
    <t>NCT00000074</t>
  </si>
  <si>
    <t>13-05-2011</t>
  </si>
  <si>
    <t>NCT00000041</t>
  </si>
  <si>
    <t>NCT00000064</t>
  </si>
  <si>
    <t>NCT00000069</t>
  </si>
  <si>
    <t>NCT00000066</t>
  </si>
  <si>
    <t>NCT00000053</t>
  </si>
  <si>
    <t>19-06-2011</t>
  </si>
  <si>
    <t>NCT00000035</t>
  </si>
  <si>
    <t>23-06-2011</t>
  </si>
  <si>
    <t>NCT00000059</t>
  </si>
  <si>
    <t>26-06-2011</t>
  </si>
  <si>
    <t>NCT00000051</t>
  </si>
  <si>
    <t>NCT00000071</t>
  </si>
  <si>
    <t>AbbVie</t>
  </si>
  <si>
    <t>NCT00000076</t>
  </si>
  <si>
    <t>NCT00000044</t>
  </si>
  <si>
    <t>NCT00000052</t>
  </si>
  <si>
    <t>20-07-2011</t>
  </si>
  <si>
    <t>NCT00000067</t>
  </si>
  <si>
    <t>25-07-2011</t>
  </si>
  <si>
    <t>NCT00000040</t>
  </si>
  <si>
    <t>NCT00000063</t>
  </si>
  <si>
    <t>13-08-2011</t>
  </si>
  <si>
    <t>NCT00000048</t>
  </si>
  <si>
    <t>18-09-2011</t>
  </si>
  <si>
    <t>Regeneron</t>
  </si>
  <si>
    <t>NCT00000036</t>
  </si>
  <si>
    <t>NCT00000068</t>
  </si>
  <si>
    <t>NCT00000043</t>
  </si>
  <si>
    <t>NCT00000070</t>
  </si>
  <si>
    <t>NCT00000057</t>
  </si>
  <si>
    <t>18-11-2011</t>
  </si>
  <si>
    <t>NCT00000073</t>
  </si>
  <si>
    <t>NCT00000075</t>
  </si>
  <si>
    <t>NCT00000049</t>
  </si>
  <si>
    <t>26-12-2011</t>
  </si>
  <si>
    <t>NCT00000114</t>
  </si>
  <si>
    <t>NCT00000094</t>
  </si>
  <si>
    <t>NCT00000081</t>
  </si>
  <si>
    <t>NCT00000088</t>
  </si>
  <si>
    <t>NCT00000084</t>
  </si>
  <si>
    <t>NCT00000077</t>
  </si>
  <si>
    <t>NCT00000102</t>
  </si>
  <si>
    <t>Amgen</t>
  </si>
  <si>
    <t>NCT00000082</t>
  </si>
  <si>
    <t>20-02-2012</t>
  </si>
  <si>
    <t>NCT00000098</t>
  </si>
  <si>
    <t>27-02-2012</t>
  </si>
  <si>
    <t>NCT00000115</t>
  </si>
  <si>
    <t>NCT00000079</t>
  </si>
  <si>
    <t>NCT00000110</t>
  </si>
  <si>
    <t>NCT00000111</t>
  </si>
  <si>
    <t>17-04-2012</t>
  </si>
  <si>
    <t>NCT00000104</t>
  </si>
  <si>
    <t>19-04-2012</t>
  </si>
  <si>
    <t>NCT00000089</t>
  </si>
  <si>
    <t>22-04-2012</t>
  </si>
  <si>
    <t>NCT00000117</t>
  </si>
  <si>
    <t>24-04-2012</t>
  </si>
  <si>
    <t>NCT00000100</t>
  </si>
  <si>
    <t>25-04-2012</t>
  </si>
  <si>
    <t>NCT00000095</t>
  </si>
  <si>
    <t>15-05-2012</t>
  </si>
  <si>
    <t>Boehringer Ingelheim</t>
  </si>
  <si>
    <t>NCT00000090</t>
  </si>
  <si>
    <t>24-05-2012</t>
  </si>
  <si>
    <t>NCT00000080</t>
  </si>
  <si>
    <t>NCT00000106</t>
  </si>
  <si>
    <t>NCT00000101</t>
  </si>
  <si>
    <t>NCT00000099</t>
  </si>
  <si>
    <t>21-07-2012</t>
  </si>
  <si>
    <t>NCT00000107</t>
  </si>
  <si>
    <t>27-07-2012</t>
  </si>
  <si>
    <t>NCT00000105</t>
  </si>
  <si>
    <t>NCT00000112</t>
  </si>
  <si>
    <t>NCT00000078</t>
  </si>
  <si>
    <t>NCT00000086</t>
  </si>
  <si>
    <t>NCT00000083</t>
  </si>
  <si>
    <t>14-08-2012</t>
  </si>
  <si>
    <t>NCT00000109</t>
  </si>
  <si>
    <t>NCT00000093</t>
  </si>
  <si>
    <t>13-09-2012</t>
  </si>
  <si>
    <t>NCT00000092</t>
  </si>
  <si>
    <t>21-09-2012</t>
  </si>
  <si>
    <t>NCT00000116</t>
  </si>
  <si>
    <t>24-09-2012</t>
  </si>
  <si>
    <t>NCT00000113</t>
  </si>
  <si>
    <t>NCT00000085</t>
  </si>
  <si>
    <t>NCT00000097</t>
  </si>
  <si>
    <t>21-10-2012</t>
  </si>
  <si>
    <t>NCT00000096</t>
  </si>
  <si>
    <t>22-10-2012</t>
  </si>
  <si>
    <t>NCT00000108</t>
  </si>
  <si>
    <t>NCT00000103</t>
  </si>
  <si>
    <t>15-11-2012</t>
  </si>
  <si>
    <t>NCT00000087</t>
  </si>
  <si>
    <t>22-11-2012</t>
  </si>
  <si>
    <t>NCT00000091</t>
  </si>
  <si>
    <t>19-12-2012</t>
  </si>
  <si>
    <t>NCT00000132</t>
  </si>
  <si>
    <t>NCT00000124</t>
  </si>
  <si>
    <t>NCT00000130</t>
  </si>
  <si>
    <t>23-01-2013</t>
  </si>
  <si>
    <t>NCT00000126</t>
  </si>
  <si>
    <t>NCT00000135</t>
  </si>
  <si>
    <t>NCT00000123</t>
  </si>
  <si>
    <t>NCT00000150</t>
  </si>
  <si>
    <t>NCT00000143</t>
  </si>
  <si>
    <t>13-02-2013</t>
  </si>
  <si>
    <t>NCT00000145</t>
  </si>
  <si>
    <t>27-03-2013</t>
  </si>
  <si>
    <t>NCT00000152</t>
  </si>
  <si>
    <t>19-04-2013</t>
  </si>
  <si>
    <t>NCT00000127</t>
  </si>
  <si>
    <t>26-04-2013</t>
  </si>
  <si>
    <t>NCT00000131</t>
  </si>
  <si>
    <t>NCT00000118</t>
  </si>
  <si>
    <t>NCT00000144</t>
  </si>
  <si>
    <t>16-05-2013</t>
  </si>
  <si>
    <t>NCT00000125</t>
  </si>
  <si>
    <t>NCT00000122</t>
  </si>
  <si>
    <t>NCT00000128</t>
  </si>
  <si>
    <t>NCT00000156</t>
  </si>
  <si>
    <t>NCT00000119</t>
  </si>
  <si>
    <t>15-06-2013</t>
  </si>
  <si>
    <t>NCT00000121</t>
  </si>
  <si>
    <t>16-06-2013</t>
  </si>
  <si>
    <t>NCT00000149</t>
  </si>
  <si>
    <t>18-06-2013</t>
  </si>
  <si>
    <t>NCT00000129</t>
  </si>
  <si>
    <t>25-06-2013</t>
  </si>
  <si>
    <t>NCT00000137</t>
  </si>
  <si>
    <t>NCT00000134</t>
  </si>
  <si>
    <t>21-07-2013</t>
  </si>
  <si>
    <t>NCT00000157</t>
  </si>
  <si>
    <t>25-07-2013</t>
  </si>
  <si>
    <t>NCT00000140</t>
  </si>
  <si>
    <t>27-07-2013</t>
  </si>
  <si>
    <t>NCT00000133</t>
  </si>
  <si>
    <t>NCT00000147</t>
  </si>
  <si>
    <t>NCT00000136</t>
  </si>
  <si>
    <t>NCT00000141</t>
  </si>
  <si>
    <t>NCT00000138</t>
  </si>
  <si>
    <t>NCT00000139</t>
  </si>
  <si>
    <t>NCT00000120</t>
  </si>
  <si>
    <t>NCT00000142</t>
  </si>
  <si>
    <t>NCT00000151</t>
  </si>
  <si>
    <t>NCT00000148</t>
  </si>
  <si>
    <t>15-10-2013</t>
  </si>
  <si>
    <t>NCT00000158</t>
  </si>
  <si>
    <t>22-10-2013</t>
  </si>
  <si>
    <t>NCT00000146</t>
  </si>
  <si>
    <t>NCT00000153</t>
  </si>
  <si>
    <t>26-11-2013</t>
  </si>
  <si>
    <t>NCT00000159</t>
  </si>
  <si>
    <t>NCT00000155</t>
  </si>
  <si>
    <t>NCT00000154</t>
  </si>
  <si>
    <t>20-12-2013</t>
  </si>
  <si>
    <t>NCT00000174</t>
  </si>
  <si>
    <t>NCT00000176</t>
  </si>
  <si>
    <t>15-01-2014</t>
  </si>
  <si>
    <t>NCT00000189</t>
  </si>
  <si>
    <t>26-01-2014</t>
  </si>
  <si>
    <t>NCT00000185</t>
  </si>
  <si>
    <t>23-02-2014</t>
  </si>
  <si>
    <t>NCT00000167</t>
  </si>
  <si>
    <t>NCT00000190</t>
  </si>
  <si>
    <t>NCT00000184</t>
  </si>
  <si>
    <t>18-03-2014</t>
  </si>
  <si>
    <t>NCT00000171</t>
  </si>
  <si>
    <t>22-03-2014</t>
  </si>
  <si>
    <t>NCT00000162</t>
  </si>
  <si>
    <t>NCT00000186</t>
  </si>
  <si>
    <t>NCT00000160</t>
  </si>
  <si>
    <t>15-04-2014</t>
  </si>
  <si>
    <t>NCT00000187</t>
  </si>
  <si>
    <t>17-04-2014</t>
  </si>
  <si>
    <t>NCT00000166</t>
  </si>
  <si>
    <t>24-04-2014</t>
  </si>
  <si>
    <t>NCT00000175</t>
  </si>
  <si>
    <t>26-04-2014</t>
  </si>
  <si>
    <t>NCT00000181</t>
  </si>
  <si>
    <t>NCT00000180</t>
  </si>
  <si>
    <t>NCT00000170</t>
  </si>
  <si>
    <t>NCT00000177</t>
  </si>
  <si>
    <t>18-05-2014</t>
  </si>
  <si>
    <t>NCT00000182</t>
  </si>
  <si>
    <t>NCT00000183</t>
  </si>
  <si>
    <t>NCT00000191</t>
  </si>
  <si>
    <t>NCT00000179</t>
  </si>
  <si>
    <t>16-08-2014</t>
  </si>
  <si>
    <t>NCT00000165</t>
  </si>
  <si>
    <t>17-08-2014</t>
  </si>
  <si>
    <t>NCT00000161</t>
  </si>
  <si>
    <t>NCT00000173</t>
  </si>
  <si>
    <t>20-09-2014</t>
  </si>
  <si>
    <t>NCT00000172</t>
  </si>
  <si>
    <t>NCT00000188</t>
  </si>
  <si>
    <t>17-11-2014</t>
  </si>
  <si>
    <t>NCT00000178</t>
  </si>
  <si>
    <t>23-11-2014</t>
  </si>
  <si>
    <t>NCT00000169</t>
  </si>
  <si>
    <t>24-11-2014</t>
  </si>
  <si>
    <t>NCT00000168</t>
  </si>
  <si>
    <t>NCT00000163</t>
  </si>
  <si>
    <t>14-12-2014</t>
  </si>
  <si>
    <t>NCT00000164</t>
  </si>
  <si>
    <t>NCT00000201</t>
  </si>
  <si>
    <t>NCT00000219</t>
  </si>
  <si>
    <t>NCT00000224</t>
  </si>
  <si>
    <t>13-01-2015</t>
  </si>
  <si>
    <t>NCT00000226</t>
  </si>
  <si>
    <t>25-01-2015</t>
  </si>
  <si>
    <t>NCT00000213</t>
  </si>
  <si>
    <t>NCT00000217</t>
  </si>
  <si>
    <t>NCT00000208</t>
  </si>
  <si>
    <t>14-02-2015</t>
  </si>
  <si>
    <t>NCT00000209</t>
  </si>
  <si>
    <t>20-02-2015</t>
  </si>
  <si>
    <t>NCT00000199</t>
  </si>
  <si>
    <t>26-02-2015</t>
  </si>
  <si>
    <t>NCT00000202</t>
  </si>
  <si>
    <t>NCT00000222</t>
  </si>
  <si>
    <t>16-03-2015</t>
  </si>
  <si>
    <t>NCT00000203</t>
  </si>
  <si>
    <t>NCT00000214</t>
  </si>
  <si>
    <t>NCT00000216</t>
  </si>
  <si>
    <t>NCT00000205</t>
  </si>
  <si>
    <t>NCT00000221</t>
  </si>
  <si>
    <t>20-06-2015</t>
  </si>
  <si>
    <t>NCT00000198</t>
  </si>
  <si>
    <t>NCT00000212</t>
  </si>
  <si>
    <t>NCT00000215</t>
  </si>
  <si>
    <t>15-07-2015</t>
  </si>
  <si>
    <t>NCT00000227</t>
  </si>
  <si>
    <t>16-07-2015</t>
  </si>
  <si>
    <t>NCT00000200</t>
  </si>
  <si>
    <t>18-07-2015</t>
  </si>
  <si>
    <t>NCT00000218</t>
  </si>
  <si>
    <t>NCT00000211</t>
  </si>
  <si>
    <t>26-07-2015</t>
  </si>
  <si>
    <t>NCT00000197</t>
  </si>
  <si>
    <t>NCT00000193</t>
  </si>
  <si>
    <t>13-08-2015</t>
  </si>
  <si>
    <t>NCT00000206</t>
  </si>
  <si>
    <t>25-09-2015</t>
  </si>
  <si>
    <t>NCT00000196</t>
  </si>
  <si>
    <t>16-10-2015</t>
  </si>
  <si>
    <t>NCT00000192</t>
  </si>
  <si>
    <t>17-10-2015</t>
  </si>
  <si>
    <t>NCT00000220</t>
  </si>
  <si>
    <t>18-10-2015</t>
  </si>
  <si>
    <t>NCT00000204</t>
  </si>
  <si>
    <t>20-10-2015</t>
  </si>
  <si>
    <t>NCT00000225</t>
  </si>
  <si>
    <t>NCT00000195</t>
  </si>
  <si>
    <t>NCT00000207</t>
  </si>
  <si>
    <t>20-11-2015</t>
  </si>
  <si>
    <t>NCT00000210</t>
  </si>
  <si>
    <t>25-11-2015</t>
  </si>
  <si>
    <t>NCT00000223</t>
  </si>
  <si>
    <t>NCT00000194</t>
  </si>
  <si>
    <t>17-12-2015</t>
  </si>
  <si>
    <t>NCT00000252</t>
  </si>
  <si>
    <t>NCT00000229</t>
  </si>
  <si>
    <t>13-01-2016</t>
  </si>
  <si>
    <t>NCT00000250</t>
  </si>
  <si>
    <t>15-01-2016</t>
  </si>
  <si>
    <t>NCT00000228</t>
  </si>
  <si>
    <t>16-01-2016</t>
  </si>
  <si>
    <t>NCT00000237</t>
  </si>
  <si>
    <t>18-01-2016</t>
  </si>
  <si>
    <t>NCT00000253</t>
  </si>
  <si>
    <t>NCT00000232</t>
  </si>
  <si>
    <t>NCT00000235</t>
  </si>
  <si>
    <t>NCT00000230</t>
  </si>
  <si>
    <t>NCT00000242</t>
  </si>
  <si>
    <t>NCT00000255</t>
  </si>
  <si>
    <t>NCT00000238</t>
  </si>
  <si>
    <t>15-05-2016</t>
  </si>
  <si>
    <t>NCT00000240</t>
  </si>
  <si>
    <t>17-05-2016</t>
  </si>
  <si>
    <t>NCT00000244</t>
  </si>
  <si>
    <t>23-05-2016</t>
  </si>
  <si>
    <t>NCT00000257</t>
  </si>
  <si>
    <t>25-05-2016</t>
  </si>
  <si>
    <t>NCT00000236</t>
  </si>
  <si>
    <t>27-05-2016</t>
  </si>
  <si>
    <t>NCT00000247</t>
  </si>
  <si>
    <t>NCT00000256</t>
  </si>
  <si>
    <t>NCT00000241</t>
  </si>
  <si>
    <t>NCT00000258</t>
  </si>
  <si>
    <t>NCT00000233</t>
  </si>
  <si>
    <t>NCT00000234</t>
  </si>
  <si>
    <t>19-08-2016</t>
  </si>
  <si>
    <t>NCT00000243</t>
  </si>
  <si>
    <t>13-09-2016</t>
  </si>
  <si>
    <t>NCT00000246</t>
  </si>
  <si>
    <t>19-09-2016</t>
  </si>
  <si>
    <t>NCT00000231</t>
  </si>
  <si>
    <t>NCT00000248</t>
  </si>
  <si>
    <t>NCT00000254</t>
  </si>
  <si>
    <t>14-10-2016</t>
  </si>
  <si>
    <t>NCT00000251</t>
  </si>
  <si>
    <t>15-11-2016</t>
  </si>
  <si>
    <t>NCT00000245</t>
  </si>
  <si>
    <t>22-11-2016</t>
  </si>
  <si>
    <t>NCT00000249</t>
  </si>
  <si>
    <t>NCT00000239</t>
  </si>
  <si>
    <t>25-12-2016</t>
  </si>
  <si>
    <t>NCT00000298</t>
  </si>
  <si>
    <t>14-01-2017</t>
  </si>
  <si>
    <t>NCT00000264</t>
  </si>
  <si>
    <t>21-01-2017</t>
  </si>
  <si>
    <t>NCT00000277</t>
  </si>
  <si>
    <t>NCT00000286</t>
  </si>
  <si>
    <t>NCT00000259</t>
  </si>
  <si>
    <t>18-02-2017</t>
  </si>
  <si>
    <t>NCT00000266</t>
  </si>
  <si>
    <t>20-02-2017</t>
  </si>
  <si>
    <t>NCT00000285</t>
  </si>
  <si>
    <t>NCT00000265</t>
  </si>
  <si>
    <t>19-03-2017</t>
  </si>
  <si>
    <t>NCT00000299</t>
  </si>
  <si>
    <t>21-03-2017</t>
  </si>
  <si>
    <t>NCT00000294</t>
  </si>
  <si>
    <t>23-03-2017</t>
  </si>
  <si>
    <t>NCT00000262</t>
  </si>
  <si>
    <t>NCT00000287</t>
  </si>
  <si>
    <t>NCT00000292</t>
  </si>
  <si>
    <t>NCT00000269</t>
  </si>
  <si>
    <t>NCT00000296</t>
  </si>
  <si>
    <t>26-04-2017</t>
  </si>
  <si>
    <t>NCT00000280</t>
  </si>
  <si>
    <t>NCT00000267</t>
  </si>
  <si>
    <t>19-05-2017</t>
  </si>
  <si>
    <t>NCT00000293</t>
  </si>
  <si>
    <t>27-05-2017</t>
  </si>
  <si>
    <t>NCT00000297</t>
  </si>
  <si>
    <t>NCT00000260</t>
  </si>
  <si>
    <t>24-06-2017</t>
  </si>
  <si>
    <t>NCT00000281</t>
  </si>
  <si>
    <t>NCT00000270</t>
  </si>
  <si>
    <t>NCT00000278</t>
  </si>
  <si>
    <t>NCT00000273</t>
  </si>
  <si>
    <t>13-08-2017</t>
  </si>
  <si>
    <t>NCT00000288</t>
  </si>
  <si>
    <t>NCT00000279</t>
  </si>
  <si>
    <t>19-09-2017</t>
  </si>
  <si>
    <t>NCT00000289</t>
  </si>
  <si>
    <t>22-09-2017</t>
  </si>
  <si>
    <t>NCT00000290</t>
  </si>
  <si>
    <t>25-09-2017</t>
  </si>
  <si>
    <t>NCT00000268</t>
  </si>
  <si>
    <t>NCT00000284</t>
  </si>
  <si>
    <t>NCT00000271</t>
  </si>
  <si>
    <t>NCT00000274</t>
  </si>
  <si>
    <t>22-10-2017</t>
  </si>
  <si>
    <t>NCT00000282</t>
  </si>
  <si>
    <t>27-10-2017</t>
  </si>
  <si>
    <t>NCT00000276</t>
  </si>
  <si>
    <t>NCT00000261</t>
  </si>
  <si>
    <t>NCT00000291</t>
  </si>
  <si>
    <t>NCT00000275</t>
  </si>
  <si>
    <t>25-11-2017</t>
  </si>
  <si>
    <t>NCT00000295</t>
  </si>
  <si>
    <t>16-12-2017</t>
  </si>
  <si>
    <t>NCT00000263</t>
  </si>
  <si>
    <t>19-12-2017</t>
  </si>
  <si>
    <t>NCT00000272</t>
  </si>
  <si>
    <t>24-12-2017</t>
  </si>
  <si>
    <t>NCT00000283</t>
  </si>
  <si>
    <t>26-12-2017</t>
  </si>
  <si>
    <t>NCT00000322</t>
  </si>
  <si>
    <t>NCT00000327</t>
  </si>
  <si>
    <t>15-02-2018</t>
  </si>
  <si>
    <t>NCT00000307</t>
  </si>
  <si>
    <t>14-03-2018</t>
  </si>
  <si>
    <t>NCT00000316</t>
  </si>
  <si>
    <t>16-03-2018</t>
  </si>
  <si>
    <t>NCT00000304</t>
  </si>
  <si>
    <t>NCT00000335</t>
  </si>
  <si>
    <t>NCT00000324</t>
  </si>
  <si>
    <t>17-04-2018</t>
  </si>
  <si>
    <t>NCT00000321</t>
  </si>
  <si>
    <t>NCT00000312</t>
  </si>
  <si>
    <t>NCT00000315</t>
  </si>
  <si>
    <t>NCT00000303</t>
  </si>
  <si>
    <t>NCT00000326</t>
  </si>
  <si>
    <t>NCT00000302</t>
  </si>
  <si>
    <t>NCT00000318</t>
  </si>
  <si>
    <t>17-06-2018</t>
  </si>
  <si>
    <t>NCT00000328</t>
  </si>
  <si>
    <t>26-06-2018</t>
  </si>
  <si>
    <t>NCT00000311</t>
  </si>
  <si>
    <t>NCT00000301</t>
  </si>
  <si>
    <t>NCT00000331</t>
  </si>
  <si>
    <t>NCT00000314</t>
  </si>
  <si>
    <t>NCT00000334</t>
  </si>
  <si>
    <t>NCT00000313</t>
  </si>
  <si>
    <t>17-08-2018</t>
  </si>
  <si>
    <t>NCT00000332</t>
  </si>
  <si>
    <t>NCT00000333</t>
  </si>
  <si>
    <t>NCT00000320</t>
  </si>
  <si>
    <t>17-09-2018</t>
  </si>
  <si>
    <t>NCT00000305</t>
  </si>
  <si>
    <t>NCT00000310</t>
  </si>
  <si>
    <t>19-10-2018</t>
  </si>
  <si>
    <t>NCT00000323</t>
  </si>
  <si>
    <t>22-10-2018</t>
  </si>
  <si>
    <t>NCT00000330</t>
  </si>
  <si>
    <t>25-10-2018</t>
  </si>
  <si>
    <t>NCT00000306</t>
  </si>
  <si>
    <t>15-11-2018</t>
  </si>
  <si>
    <t>NCT00000319</t>
  </si>
  <si>
    <t>20-11-2018</t>
  </si>
  <si>
    <t>NCT00000317</t>
  </si>
  <si>
    <t>23-11-2018</t>
  </si>
  <si>
    <t>NCT00000308</t>
  </si>
  <si>
    <t>26-11-2018</t>
  </si>
  <si>
    <t>NCT00000325</t>
  </si>
  <si>
    <t>NCT00000309</t>
  </si>
  <si>
    <t>NCT00000329</t>
  </si>
  <si>
    <t>NCT00000300</t>
  </si>
  <si>
    <t>25-12-2018</t>
  </si>
  <si>
    <t>NCT00000362</t>
  </si>
  <si>
    <t>NCT00000364</t>
  </si>
  <si>
    <t>20-01-2019</t>
  </si>
  <si>
    <t>NCT00000356</t>
  </si>
  <si>
    <t>NCT00000338</t>
  </si>
  <si>
    <t>NCT00000358</t>
  </si>
  <si>
    <t>20-02-2019</t>
  </si>
  <si>
    <t>NCT00000343</t>
  </si>
  <si>
    <t>NCT00000361</t>
  </si>
  <si>
    <t>22-03-2019</t>
  </si>
  <si>
    <t>NCT00000348</t>
  </si>
  <si>
    <t>NCT00000342</t>
  </si>
  <si>
    <t>NCT00000359</t>
  </si>
  <si>
    <t>NCT00000360</t>
  </si>
  <si>
    <t>19-05-2019</t>
  </si>
  <si>
    <t>NCT00000357</t>
  </si>
  <si>
    <t>16-06-2019</t>
  </si>
  <si>
    <t>NCT00000339</t>
  </si>
  <si>
    <t>NCT00000345</t>
  </si>
  <si>
    <t>NCT00000368</t>
  </si>
  <si>
    <t>NCT00000350</t>
  </si>
  <si>
    <t>16-07-2019</t>
  </si>
  <si>
    <t>NCT00000355</t>
  </si>
  <si>
    <t>NCT00000344</t>
  </si>
  <si>
    <t>NCT00000347</t>
  </si>
  <si>
    <t>NCT00000337</t>
  </si>
  <si>
    <t>NCT00000340</t>
  </si>
  <si>
    <t>NCT00000341</t>
  </si>
  <si>
    <t>14-09-2019</t>
  </si>
  <si>
    <t>NCT00000354</t>
  </si>
  <si>
    <t>15-09-2019</t>
  </si>
  <si>
    <t>NCT00000366</t>
  </si>
  <si>
    <t>18-09-2019</t>
  </si>
  <si>
    <t>NCT00000353</t>
  </si>
  <si>
    <t>27-09-2019</t>
  </si>
  <si>
    <t>NCT00000367</t>
  </si>
  <si>
    <t>24-10-2019</t>
  </si>
  <si>
    <t>NCT00000336</t>
  </si>
  <si>
    <t>26-10-2019</t>
  </si>
  <si>
    <t>NCT00000351</t>
  </si>
  <si>
    <t>NCT00000349</t>
  </si>
  <si>
    <t>15-11-2019</t>
  </si>
  <si>
    <t>NCT00000346</t>
  </si>
  <si>
    <t>22-11-2019</t>
  </si>
  <si>
    <t>NCT00000363</t>
  </si>
  <si>
    <t>NCT00000365</t>
  </si>
  <si>
    <t>NCT00000352</t>
  </si>
  <si>
    <t>24-12-2019</t>
  </si>
  <si>
    <t>NCT00000370</t>
  </si>
  <si>
    <t>NCT00000385</t>
  </si>
  <si>
    <t>19-01-2020</t>
  </si>
  <si>
    <t>NCT00000375</t>
  </si>
  <si>
    <t>23-01-2020</t>
  </si>
  <si>
    <t>NCT00000382</t>
  </si>
  <si>
    <t>NCT00000390</t>
  </si>
  <si>
    <t>NCT00000378</t>
  </si>
  <si>
    <t>NCT00000372</t>
  </si>
  <si>
    <t>NCT00000383</t>
  </si>
  <si>
    <t>23-03-2020</t>
  </si>
  <si>
    <t>NCT00000374</t>
  </si>
  <si>
    <t>NCT00000380</t>
  </si>
  <si>
    <t>NCT00000379</t>
  </si>
  <si>
    <t>NCT00000387</t>
  </si>
  <si>
    <t>17-05-2020</t>
  </si>
  <si>
    <t>NCT00000377</t>
  </si>
  <si>
    <t>25-05-2020</t>
  </si>
  <si>
    <t>NCT00000391</t>
  </si>
  <si>
    <t>NCT00000386</t>
  </si>
  <si>
    <t>NCT00000369</t>
  </si>
  <si>
    <t>26-06-2020</t>
  </si>
  <si>
    <t>NCT00000371</t>
  </si>
  <si>
    <t>NCT00000389</t>
  </si>
  <si>
    <t>NCT00000381</t>
  </si>
  <si>
    <t>NCT00000373</t>
  </si>
  <si>
    <t>NCT00000388</t>
  </si>
  <si>
    <t>NCT00000384</t>
  </si>
  <si>
    <t>NCT00000392</t>
  </si>
  <si>
    <t>NCT00000376</t>
  </si>
  <si>
    <t>NCT00000393</t>
  </si>
  <si>
    <t>NCT00000424</t>
  </si>
  <si>
    <t>NCT00000419</t>
  </si>
  <si>
    <t>NCT00000396</t>
  </si>
  <si>
    <t>NCT00000402</t>
  </si>
  <si>
    <t>NCT00000423</t>
  </si>
  <si>
    <t>24-01-2021</t>
  </si>
  <si>
    <t>NCT00000411</t>
  </si>
  <si>
    <t>NCT00000427</t>
  </si>
  <si>
    <t>23-02-2021</t>
  </si>
  <si>
    <t>NCT00000430</t>
  </si>
  <si>
    <t>24-02-2021</t>
  </si>
  <si>
    <t>NCT00000425</t>
  </si>
  <si>
    <t>NCT00000400</t>
  </si>
  <si>
    <t>15-03-2021</t>
  </si>
  <si>
    <t>NCT00000413</t>
  </si>
  <si>
    <t>20-03-2021</t>
  </si>
  <si>
    <t>NCT00000405</t>
  </si>
  <si>
    <t>25-03-2021</t>
  </si>
  <si>
    <t>NCT00000406</t>
  </si>
  <si>
    <t>NCT00000415</t>
  </si>
  <si>
    <t>13-04-2021</t>
  </si>
  <si>
    <t>NCT00000414</t>
  </si>
  <si>
    <t>17-04-2021</t>
  </si>
  <si>
    <t>NCT00000418</t>
  </si>
  <si>
    <t>21-04-2021</t>
  </si>
  <si>
    <t>NCT00000404</t>
  </si>
  <si>
    <t>NCT00000409</t>
  </si>
  <si>
    <t>NCT00000421</t>
  </si>
  <si>
    <t>26-05-2021</t>
  </si>
  <si>
    <t>NCT00000426</t>
  </si>
  <si>
    <t>NCT00000432</t>
  </si>
  <si>
    <t>27-06-2021</t>
  </si>
  <si>
    <t>NCT00000420</t>
  </si>
  <si>
    <t>NCT00000412</t>
  </si>
  <si>
    <t>NCT00000408</t>
  </si>
  <si>
    <t>13-07-2021</t>
  </si>
  <si>
    <t>NCT00000395</t>
  </si>
  <si>
    <t>NCT00000417</t>
  </si>
  <si>
    <t>13-08-2021</t>
  </si>
  <si>
    <t>NCT00000428</t>
  </si>
  <si>
    <t>20-08-2021</t>
  </si>
  <si>
    <t>NCT00000407</t>
  </si>
  <si>
    <t>27-08-2021</t>
  </si>
  <si>
    <t>NCT00000399</t>
  </si>
  <si>
    <t>NCT00000403</t>
  </si>
  <si>
    <t>14-09-2021</t>
  </si>
  <si>
    <t>NCT00000416</t>
  </si>
  <si>
    <t>26-09-2021</t>
  </si>
  <si>
    <t>NCT00000410</t>
  </si>
  <si>
    <t>18-10-2021</t>
  </si>
  <si>
    <t>NCT00000398</t>
  </si>
  <si>
    <t>24-10-2021</t>
  </si>
  <si>
    <t>NCT00000401</t>
  </si>
  <si>
    <t>NCT00000422</t>
  </si>
  <si>
    <t>NCT00000397</t>
  </si>
  <si>
    <t>NCT00000431</t>
  </si>
  <si>
    <t>NCT00000394</t>
  </si>
  <si>
    <t>17-11-2021</t>
  </si>
  <si>
    <t>NCT00000429</t>
  </si>
  <si>
    <t>NCT00000447</t>
  </si>
  <si>
    <t>NCT00000438</t>
  </si>
  <si>
    <t>NCT00000468</t>
  </si>
  <si>
    <t>NCT00000461</t>
  </si>
  <si>
    <t>NCT00000465</t>
  </si>
  <si>
    <t>14-02-2022</t>
  </si>
  <si>
    <t>NCT00000449</t>
  </si>
  <si>
    <t>16-02-2022</t>
  </si>
  <si>
    <t>NCT00000464</t>
  </si>
  <si>
    <t>24-02-2022</t>
  </si>
  <si>
    <t>NCT00000442</t>
  </si>
  <si>
    <t>NCT00000450</t>
  </si>
  <si>
    <t>27-02-2022</t>
  </si>
  <si>
    <t>NCT00000445</t>
  </si>
  <si>
    <t>NCT00000434</t>
  </si>
  <si>
    <t>22-03-2022</t>
  </si>
  <si>
    <t>NCT00000448</t>
  </si>
  <si>
    <t>NCT00000471</t>
  </si>
  <si>
    <t>20-04-2022</t>
  </si>
  <si>
    <t>NCT00000435</t>
  </si>
  <si>
    <t>NCT00000439</t>
  </si>
  <si>
    <t>NCT00000453</t>
  </si>
  <si>
    <t>NCT00000437</t>
  </si>
  <si>
    <t>15-05-2022</t>
  </si>
  <si>
    <t>NCT00000460</t>
  </si>
  <si>
    <t>NCT00000441</t>
  </si>
  <si>
    <t>NCT00000452</t>
  </si>
  <si>
    <t>NCT00000470</t>
  </si>
  <si>
    <t>NCT00000458</t>
  </si>
  <si>
    <t>13-06-2022</t>
  </si>
  <si>
    <t>NCT00000472</t>
  </si>
  <si>
    <t>14-06-2022</t>
  </si>
  <si>
    <t>NCT00000469</t>
  </si>
  <si>
    <t>24-06-2022</t>
  </si>
  <si>
    <t>NCT00000433</t>
  </si>
  <si>
    <t>15-07-2022</t>
  </si>
  <si>
    <t>NCT00000466</t>
  </si>
  <si>
    <t>23-07-2022</t>
  </si>
  <si>
    <t>NCT00000443</t>
  </si>
  <si>
    <t>NCT00000467</t>
  </si>
  <si>
    <t>21-08-2022</t>
  </si>
  <si>
    <t>NCT00000436</t>
  </si>
  <si>
    <t>NCT00000446</t>
  </si>
  <si>
    <t>13-09-2022</t>
  </si>
  <si>
    <t>NCT00000462</t>
  </si>
  <si>
    <t>24-09-2022</t>
  </si>
  <si>
    <t>NCT00000455</t>
  </si>
  <si>
    <t>NCT00000459</t>
  </si>
  <si>
    <t>NCT00000451</t>
  </si>
  <si>
    <t>18-10-2022</t>
  </si>
  <si>
    <t>NCT00000454</t>
  </si>
  <si>
    <t>21-10-2022</t>
  </si>
  <si>
    <t>NCT00000457</t>
  </si>
  <si>
    <t>NCT00000440</t>
  </si>
  <si>
    <t>NCT00000456</t>
  </si>
  <si>
    <t>NCT00000444</t>
  </si>
  <si>
    <t>NCT00000463</t>
  </si>
  <si>
    <t>NCT00000496</t>
  </si>
  <si>
    <t>18-01-2023</t>
  </si>
  <si>
    <t>NCT00000503</t>
  </si>
  <si>
    <t>27-01-2023</t>
  </si>
  <si>
    <t>NCT00000499</t>
  </si>
  <si>
    <t>18-02-2023</t>
  </si>
  <si>
    <t>NCT00000495</t>
  </si>
  <si>
    <t>26-02-2023</t>
  </si>
  <si>
    <t>NCT00000500</t>
  </si>
  <si>
    <t>NCT00000484</t>
  </si>
  <si>
    <t>26-03-2023</t>
  </si>
  <si>
    <t>NCT00000498</t>
  </si>
  <si>
    <t>19-04-2023</t>
  </si>
  <si>
    <t>NCT00000511</t>
  </si>
  <si>
    <t>25-04-2023</t>
  </si>
  <si>
    <t>NCT00000507</t>
  </si>
  <si>
    <t>NCT00000476</t>
  </si>
  <si>
    <t>NCT00000478</t>
  </si>
  <si>
    <t>16-05-2023</t>
  </si>
  <si>
    <t>NCT00000474</t>
  </si>
  <si>
    <t>19-05-2023</t>
  </si>
  <si>
    <t>NCT00000489</t>
  </si>
  <si>
    <t>27-05-2023</t>
  </si>
  <si>
    <t>NCT00000504</t>
  </si>
  <si>
    <t>NCT00000506</t>
  </si>
  <si>
    <t>14-06-2023</t>
  </si>
  <si>
    <t>NCT00000505</t>
  </si>
  <si>
    <t>15-06-2023</t>
  </si>
  <si>
    <t>NCT00000477</t>
  </si>
  <si>
    <t>27-06-2023</t>
  </si>
  <si>
    <t>NCT00000493</t>
  </si>
  <si>
    <t>NCT00000482</t>
  </si>
  <si>
    <t>NCT00000501</t>
  </si>
  <si>
    <t>NCT00000502</t>
  </si>
  <si>
    <t>NCT00000486</t>
  </si>
  <si>
    <t>NCT00000480</t>
  </si>
  <si>
    <t>NCT00000485</t>
  </si>
  <si>
    <t>NCT00000492</t>
  </si>
  <si>
    <t>18-09-2023</t>
  </si>
  <si>
    <t>NCT00000508</t>
  </si>
  <si>
    <t>20-09-2023</t>
  </si>
  <si>
    <t>NCT00000479</t>
  </si>
  <si>
    <t>21-09-2023</t>
  </si>
  <si>
    <t>NCT00000473</t>
  </si>
  <si>
    <t>22-09-2023</t>
  </si>
  <si>
    <t>NCT00000509</t>
  </si>
  <si>
    <t>13-10-2023</t>
  </si>
  <si>
    <t>NCT00000475</t>
  </si>
  <si>
    <t>15-10-2023</t>
  </si>
  <si>
    <t>NCT00000494</t>
  </si>
  <si>
    <t>24-10-2023</t>
  </si>
  <si>
    <t>NCT00000481</t>
  </si>
  <si>
    <t>NCT00000513</t>
  </si>
  <si>
    <t>15-11-2023</t>
  </si>
  <si>
    <t>NCT00000491</t>
  </si>
  <si>
    <t>19-11-2023</t>
  </si>
  <si>
    <t>NCT00000512</t>
  </si>
  <si>
    <t>22-11-2023</t>
  </si>
  <si>
    <t>NCT00000483</t>
  </si>
  <si>
    <t>26-11-2023</t>
  </si>
  <si>
    <t>NCT00000488</t>
  </si>
  <si>
    <t>NCT00000497</t>
  </si>
  <si>
    <t>NCT00000487</t>
  </si>
  <si>
    <t>NCT00000510</t>
  </si>
  <si>
    <t>16-12-2023</t>
  </si>
  <si>
    <t>NCT00000490</t>
  </si>
  <si>
    <t>18-12-2023</t>
  </si>
  <si>
    <t>NCT00000521</t>
  </si>
  <si>
    <t>NCT00000522</t>
  </si>
  <si>
    <t>NCT00000539</t>
  </si>
  <si>
    <t>13-01-2024</t>
  </si>
  <si>
    <t>NCT00000541</t>
  </si>
  <si>
    <t>25-01-2024</t>
  </si>
  <si>
    <t>NCT00000517</t>
  </si>
  <si>
    <t>NCT00000543</t>
  </si>
  <si>
    <t>NCT00000555</t>
  </si>
  <si>
    <t>14-02-2024</t>
  </si>
  <si>
    <t>NCT00000534</t>
  </si>
  <si>
    <t>NCT00000536</t>
  </si>
  <si>
    <t>NCT00000533</t>
  </si>
  <si>
    <t>NCT00000519</t>
  </si>
  <si>
    <t>14-03-2024</t>
  </si>
  <si>
    <t>NCT00000551</t>
  </si>
  <si>
    <t>21-03-2024</t>
  </si>
  <si>
    <t>NCT00000527</t>
  </si>
  <si>
    <t>26-03-2024</t>
  </si>
  <si>
    <t>NCT00000516</t>
  </si>
  <si>
    <t>NCT00000514</t>
  </si>
  <si>
    <t>27-04-2024</t>
  </si>
  <si>
    <t>NCT00000530</t>
  </si>
  <si>
    <t>NCT00000524</t>
  </si>
  <si>
    <t>NCT00000542</t>
  </si>
  <si>
    <t>NCT00000546</t>
  </si>
  <si>
    <t>NCT00000520</t>
  </si>
  <si>
    <t>NCT00000532</t>
  </si>
  <si>
    <t>17-07-2024</t>
  </si>
  <si>
    <t>NCT00000528</t>
  </si>
  <si>
    <t>21-07-2024</t>
  </si>
  <si>
    <t>NCT00000545</t>
  </si>
  <si>
    <t>NCT00000547</t>
  </si>
  <si>
    <t>NCT00000540</t>
  </si>
  <si>
    <t>14-08-2024</t>
  </si>
  <si>
    <t>NCT00000549</t>
  </si>
  <si>
    <t>22-08-2024</t>
  </si>
  <si>
    <t>NCT00000548</t>
  </si>
  <si>
    <t>NCT00000550</t>
  </si>
  <si>
    <t>21-09-2024</t>
  </si>
  <si>
    <t>NCT00000553</t>
  </si>
  <si>
    <t>NCT00000544</t>
  </si>
  <si>
    <t>25-09-2024</t>
  </si>
  <si>
    <t>NCT00000554</t>
  </si>
  <si>
    <t>NCT00000529</t>
  </si>
  <si>
    <t>NCT00000552</t>
  </si>
  <si>
    <t>14-10-2024</t>
  </si>
  <si>
    <t>NCT00000525</t>
  </si>
  <si>
    <t>17-10-2024</t>
  </si>
  <si>
    <t>NCT00000515</t>
  </si>
  <si>
    <t>NCT00000535</t>
  </si>
  <si>
    <t>NCT00000518</t>
  </si>
  <si>
    <t>13-11-2024</t>
  </si>
  <si>
    <t>NCT00000537</t>
  </si>
  <si>
    <t>14-11-2024</t>
  </si>
  <si>
    <t>NCT00000531</t>
  </si>
  <si>
    <t>15-11-2024</t>
  </si>
  <si>
    <t>NCT00000523</t>
  </si>
  <si>
    <t>NCT00000526</t>
  </si>
  <si>
    <t>21-12-2024</t>
  </si>
  <si>
    <t>NCT00000538</t>
  </si>
  <si>
    <t>23-12-2024</t>
  </si>
  <si>
    <t>NCT00000574</t>
  </si>
  <si>
    <t>NCT00000567</t>
  </si>
  <si>
    <t>NCT00000583</t>
  </si>
  <si>
    <t>NCT00000578</t>
  </si>
  <si>
    <t>13-01-2025</t>
  </si>
  <si>
    <t>NCT00000589</t>
  </si>
  <si>
    <t>20-01-2025</t>
  </si>
  <si>
    <t>NCT00000560</t>
  </si>
  <si>
    <t>NCT00000572</t>
  </si>
  <si>
    <t>NCT00000558</t>
  </si>
  <si>
    <t>NCT00000575</t>
  </si>
  <si>
    <t>19-02-2025</t>
  </si>
  <si>
    <t>NCT00000592</t>
  </si>
  <si>
    <t>NCT00000576</t>
  </si>
  <si>
    <t>NCT00000593</t>
  </si>
  <si>
    <t>NCT00000579</t>
  </si>
  <si>
    <t>NCT00000595</t>
  </si>
  <si>
    <t>NCT00000556</t>
  </si>
  <si>
    <t>17-05-2025</t>
  </si>
  <si>
    <t>NCT00000591</t>
  </si>
  <si>
    <t>22-05-2025</t>
  </si>
  <si>
    <t>NCT00000577</t>
  </si>
  <si>
    <t>24-05-2025</t>
  </si>
  <si>
    <t>NCT00000584</t>
  </si>
  <si>
    <t>25-05-2025</t>
  </si>
  <si>
    <t>NCT00000588</t>
  </si>
  <si>
    <t>20-06-2025</t>
  </si>
  <si>
    <t>NCT00000587</t>
  </si>
  <si>
    <t>NCT00000585</t>
  </si>
  <si>
    <t>14-08-2025</t>
  </si>
  <si>
    <t>NCT00000570</t>
  </si>
  <si>
    <t>19-08-2025</t>
  </si>
  <si>
    <t>NCT00000582</t>
  </si>
  <si>
    <t>24-08-2025</t>
  </si>
  <si>
    <t>NCT00000571</t>
  </si>
  <si>
    <t>26-08-2025</t>
  </si>
  <si>
    <t>NCT00000561</t>
  </si>
  <si>
    <t>NCT00000569</t>
  </si>
  <si>
    <t>NCT00000559</t>
  </si>
  <si>
    <t>NCT00000564</t>
  </si>
  <si>
    <t>13-09-2025</t>
  </si>
  <si>
    <t>NCT00000594</t>
  </si>
  <si>
    <t>19-09-2025</t>
  </si>
  <si>
    <t>NCT00000568</t>
  </si>
  <si>
    <t>21-09-2025</t>
  </si>
  <si>
    <t>NCT00000586</t>
  </si>
  <si>
    <t>NCT00000557</t>
  </si>
  <si>
    <t>14-10-2025</t>
  </si>
  <si>
    <t>NCT00000566</t>
  </si>
  <si>
    <t>24-10-2025</t>
  </si>
  <si>
    <t>NCT00000580</t>
  </si>
  <si>
    <t>26-10-2025</t>
  </si>
  <si>
    <t>NCT00000563</t>
  </si>
  <si>
    <t>NCT00000573</t>
  </si>
  <si>
    <t>NCT00000562</t>
  </si>
  <si>
    <t>24-11-2025</t>
  </si>
  <si>
    <t>NCT00000581</t>
  </si>
  <si>
    <t>27-11-2025</t>
  </si>
  <si>
    <t>NCT00000590</t>
  </si>
  <si>
    <t>NCT00000565</t>
  </si>
  <si>
    <t>22-12-2025</t>
  </si>
  <si>
    <t>NCT00000597</t>
  </si>
  <si>
    <t>NCT00000599</t>
  </si>
  <si>
    <t>NCT00000598</t>
  </si>
  <si>
    <t>14-02-2026</t>
  </si>
  <si>
    <t>NCT00000596</t>
  </si>
  <si>
    <t>Count of trial_id</t>
  </si>
  <si>
    <t>Grand Total</t>
  </si>
  <si>
    <t>Average of is_success</t>
  </si>
  <si>
    <t>Total trials</t>
  </si>
  <si>
    <t>Overall success rate</t>
  </si>
  <si>
    <t>Total sponsors</t>
  </si>
  <si>
    <t>search sponsor</t>
  </si>
  <si>
    <t>trial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</si>
</sst>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i/>
      <sz val="12"/>
      <color theme="1"/>
      <name val="Aptos Narrow"/>
      <family val="2"/>
      <scheme val="minor"/>
    </font>
    <font>
      <sz val="11"/>
      <color rgb="FF000000"/>
      <name val="Century"/>
    </font>
    <font>
      <b/>
      <sz val="11"/>
      <color rgb="FF000000"/>
      <name val="Century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0" fillId="0" borderId="0" xfId="0" applyAlignment="1">
      <alignment wrapText="1"/>
    </xf>
    <xf numFmtId="0" fontId="0" fillId="0" borderId="0" xfId="0" pivotButton="1"/>
    <xf numFmtId="0" fontId="3" fillId="0" borderId="0" xfId="0" applyFont="1" applyFill="1" applyBorder="1" applyAlignment="1"/>
    <xf numFmtId="0" fontId="3" fillId="0" borderId="0" xfId="0" applyNumberFormat="1" applyFon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Fill="1" applyBorder="1" applyAlignment="1"/>
    <xf numFmtId="164" fontId="4" fillId="0" borderId="0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[Book.xlsx]Sheet13!PivotTable1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Sponsor Wise Trial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Sheet13!$A$2:$A$23</c:f>
              <c:strCache>
                <c:ptCount val="21"/>
                <c:pt idx="0">
                  <c:v>AbbVie</c:v>
                </c:pt>
                <c:pt idx="1">
                  <c:v>Amgen</c:v>
                </c:pt>
                <c:pt idx="2">
                  <c:v>AstraZeneca</c:v>
                </c:pt>
                <c:pt idx="3">
                  <c:v>Bayer</c:v>
                </c:pt>
                <c:pt idx="4">
                  <c:v>BioNTech</c:v>
                </c:pt>
                <c:pt idx="5">
                  <c:v>BMS</c:v>
                </c:pt>
                <c:pt idx="6">
                  <c:v>Boehringer Ingelheim</c:v>
                </c:pt>
                <c:pt idx="7">
                  <c:v>Eli Lilly</c:v>
                </c:pt>
                <c:pt idx="8">
                  <c:v>Gilead</c:v>
                </c:pt>
                <c:pt idx="9">
                  <c:v>GSK</c:v>
                </c:pt>
                <c:pt idx="10">
                  <c:v>J&amp;J</c:v>
                </c:pt>
                <c:pt idx="11">
                  <c:v>Merck</c:v>
                </c:pt>
                <c:pt idx="12">
                  <c:v>Moderna</c:v>
                </c:pt>
                <c:pt idx="13">
                  <c:v>Novartis</c:v>
                </c:pt>
                <c:pt idx="14">
                  <c:v>Novo Nordisk</c:v>
                </c:pt>
                <c:pt idx="15">
                  <c:v>Pfizer</c:v>
                </c:pt>
                <c:pt idx="16">
                  <c:v>Regeneron</c:v>
                </c:pt>
                <c:pt idx="17">
                  <c:v>Roche</c:v>
                </c:pt>
                <c:pt idx="18">
                  <c:v>Sanofi</c:v>
                </c:pt>
                <c:pt idx="19">
                  <c:v>Takeda</c:v>
                </c:pt>
                <c:pt idx="20">
                  <c:v>Vertex</c:v>
                </c:pt>
              </c:strCache>
            </c:strRef>
          </c:cat>
          <c:val>
            <c:numRef>
              <c:f>Sheet13!$B$2:$B$23</c:f>
              <c:numCache>
                <c:formatCode>General</c:formatCode>
                <c:ptCount val="21"/>
                <c:pt idx="0">
                  <c:v>17</c:v>
                </c:pt>
                <c:pt idx="1">
                  <c:v>27</c:v>
                </c:pt>
                <c:pt idx="2">
                  <c:v>31</c:v>
                </c:pt>
                <c:pt idx="3">
                  <c:v>26</c:v>
                </c:pt>
                <c:pt idx="4">
                  <c:v>38</c:v>
                </c:pt>
                <c:pt idx="5">
                  <c:v>29</c:v>
                </c:pt>
                <c:pt idx="6">
                  <c:v>19</c:v>
                </c:pt>
                <c:pt idx="7">
                  <c:v>29</c:v>
                </c:pt>
                <c:pt idx="8">
                  <c:v>21</c:v>
                </c:pt>
                <c:pt idx="9">
                  <c:v>38</c:v>
                </c:pt>
                <c:pt idx="10">
                  <c:v>27</c:v>
                </c:pt>
                <c:pt idx="11">
                  <c:v>30</c:v>
                </c:pt>
                <c:pt idx="12">
                  <c:v>31</c:v>
                </c:pt>
                <c:pt idx="13">
                  <c:v>27</c:v>
                </c:pt>
                <c:pt idx="14">
                  <c:v>27</c:v>
                </c:pt>
                <c:pt idx="15">
                  <c:v>40</c:v>
                </c:pt>
                <c:pt idx="16">
                  <c:v>28</c:v>
                </c:pt>
                <c:pt idx="17">
                  <c:v>28</c:v>
                </c:pt>
                <c:pt idx="18">
                  <c:v>23</c:v>
                </c:pt>
                <c:pt idx="19">
                  <c:v>30</c:v>
                </c:pt>
                <c:pt idx="2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E-4A06-A117-8B86AFDA1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485959"/>
        <c:axId val="367488007"/>
      </c:barChart>
      <c:catAx>
        <c:axId val="367485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88007"/>
        <c:crosses val="autoZero"/>
        <c:auto val="1"/>
        <c:lblAlgn val="ctr"/>
        <c:lblOffset val="100"/>
        <c:noMultiLvlLbl val="0"/>
      </c:catAx>
      <c:valAx>
        <c:axId val="36748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85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[Book.xlsx]Sheet14!PivotTable2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Trial Phase Distribution</a:t>
            </a:r>
          </a:p>
        </c:rich>
      </c:tx>
      <c:layout>
        <c:manualLayout>
          <c:xMode val="edge"/>
          <c:yMode val="edge"/>
          <c:x val="0.4054560494031455"/>
          <c:y val="4.57142857142857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Sheet14!$B$1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7E-46DE-A044-9FDAB434F0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7E-46DE-A044-9FDAB434F03C}"/>
              </c:ext>
            </c:extLst>
          </c:dPt>
          <c:cat>
            <c:strRef>
              <c:f>Sheet14!$A$2:$A$4</c:f>
              <c:strCache>
                <c:ptCount val="2"/>
                <c:pt idx="0">
                  <c:v>Phase 2</c:v>
                </c:pt>
                <c:pt idx="1">
                  <c:v>Phase 3</c:v>
                </c:pt>
              </c:strCache>
            </c:strRef>
          </c:cat>
          <c:val>
            <c:numRef>
              <c:f>Sheet14!$B$2:$B$4</c:f>
              <c:numCache>
                <c:formatCode>General</c:formatCode>
                <c:ptCount val="2"/>
                <c:pt idx="0">
                  <c:v>273</c:v>
                </c:pt>
                <c:pt idx="1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F-42DB-8E71-8AE9FFDED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 Rate by Therapy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cardiovascular</c:v>
                </c:pt>
                <c:pt idx="1">
                  <c:v>gastrointestinal</c:v>
                </c:pt>
                <c:pt idx="2">
                  <c:v>immunology</c:v>
                </c:pt>
                <c:pt idx="3">
                  <c:v>infectious</c:v>
                </c:pt>
                <c:pt idx="4">
                  <c:v>metabolic</c:v>
                </c:pt>
                <c:pt idx="5">
                  <c:v>neurology</c:v>
                </c:pt>
                <c:pt idx="6">
                  <c:v>oncology</c:v>
                </c:pt>
                <c:pt idx="7">
                  <c:v>psychiatry</c:v>
                </c:pt>
                <c:pt idx="8">
                  <c:v>rare_disease</c:v>
                </c:pt>
                <c:pt idx="9">
                  <c:v>respiratory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0"/>
                <c:pt idx="0">
                  <c:v>0.80597014925373134</c:v>
                </c:pt>
                <c:pt idx="1">
                  <c:v>0.65217391304347827</c:v>
                </c:pt>
                <c:pt idx="2">
                  <c:v>0.52702702702702697</c:v>
                </c:pt>
                <c:pt idx="3">
                  <c:v>0.74576271186440679</c:v>
                </c:pt>
                <c:pt idx="4">
                  <c:v>0.61702127659574468</c:v>
                </c:pt>
                <c:pt idx="5">
                  <c:v>0.27419354838709675</c:v>
                </c:pt>
                <c:pt idx="6">
                  <c:v>0.35</c:v>
                </c:pt>
                <c:pt idx="7">
                  <c:v>0.41176470588235292</c:v>
                </c:pt>
                <c:pt idx="8">
                  <c:v>0.55319148936170215</c:v>
                </c:pt>
                <c:pt idx="9">
                  <c:v>0.78260869565217395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7-4CD2-BE46-843B99934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085320"/>
        <c:axId val="1379091976"/>
      </c:barChart>
      <c:catAx>
        <c:axId val="137908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91976"/>
        <c:crosses val="autoZero"/>
        <c:auto val="1"/>
        <c:lblAlgn val="ctr"/>
        <c:lblOffset val="100"/>
        <c:noMultiLvlLbl val="0"/>
      </c:catAx>
      <c:valAx>
        <c:axId val="137909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8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[Book.xlsx]Sheet13!PivotTable1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Sponsor Wise Trial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Sheet13!$A$2:$A$23</c:f>
              <c:strCache>
                <c:ptCount val="21"/>
                <c:pt idx="0">
                  <c:v>AbbVie</c:v>
                </c:pt>
                <c:pt idx="1">
                  <c:v>Amgen</c:v>
                </c:pt>
                <c:pt idx="2">
                  <c:v>AstraZeneca</c:v>
                </c:pt>
                <c:pt idx="3">
                  <c:v>Bayer</c:v>
                </c:pt>
                <c:pt idx="4">
                  <c:v>BioNTech</c:v>
                </c:pt>
                <c:pt idx="5">
                  <c:v>BMS</c:v>
                </c:pt>
                <c:pt idx="6">
                  <c:v>Boehringer Ingelheim</c:v>
                </c:pt>
                <c:pt idx="7">
                  <c:v>Eli Lilly</c:v>
                </c:pt>
                <c:pt idx="8">
                  <c:v>Gilead</c:v>
                </c:pt>
                <c:pt idx="9">
                  <c:v>GSK</c:v>
                </c:pt>
                <c:pt idx="10">
                  <c:v>J&amp;J</c:v>
                </c:pt>
                <c:pt idx="11">
                  <c:v>Merck</c:v>
                </c:pt>
                <c:pt idx="12">
                  <c:v>Moderna</c:v>
                </c:pt>
                <c:pt idx="13">
                  <c:v>Novartis</c:v>
                </c:pt>
                <c:pt idx="14">
                  <c:v>Novo Nordisk</c:v>
                </c:pt>
                <c:pt idx="15">
                  <c:v>Pfizer</c:v>
                </c:pt>
                <c:pt idx="16">
                  <c:v>Regeneron</c:v>
                </c:pt>
                <c:pt idx="17">
                  <c:v>Roche</c:v>
                </c:pt>
                <c:pt idx="18">
                  <c:v>Sanofi</c:v>
                </c:pt>
                <c:pt idx="19">
                  <c:v>Takeda</c:v>
                </c:pt>
                <c:pt idx="20">
                  <c:v>Vertex</c:v>
                </c:pt>
              </c:strCache>
            </c:strRef>
          </c:cat>
          <c:val>
            <c:numRef>
              <c:f>Sheet13!$B$2:$B$23</c:f>
              <c:numCache>
                <c:formatCode>General</c:formatCode>
                <c:ptCount val="21"/>
                <c:pt idx="0">
                  <c:v>17</c:v>
                </c:pt>
                <c:pt idx="1">
                  <c:v>27</c:v>
                </c:pt>
                <c:pt idx="2">
                  <c:v>31</c:v>
                </c:pt>
                <c:pt idx="3">
                  <c:v>26</c:v>
                </c:pt>
                <c:pt idx="4">
                  <c:v>38</c:v>
                </c:pt>
                <c:pt idx="5">
                  <c:v>29</c:v>
                </c:pt>
                <c:pt idx="6">
                  <c:v>19</c:v>
                </c:pt>
                <c:pt idx="7">
                  <c:v>29</c:v>
                </c:pt>
                <c:pt idx="8">
                  <c:v>21</c:v>
                </c:pt>
                <c:pt idx="9">
                  <c:v>38</c:v>
                </c:pt>
                <c:pt idx="10">
                  <c:v>27</c:v>
                </c:pt>
                <c:pt idx="11">
                  <c:v>30</c:v>
                </c:pt>
                <c:pt idx="12">
                  <c:v>31</c:v>
                </c:pt>
                <c:pt idx="13">
                  <c:v>27</c:v>
                </c:pt>
                <c:pt idx="14">
                  <c:v>27</c:v>
                </c:pt>
                <c:pt idx="15">
                  <c:v>40</c:v>
                </c:pt>
                <c:pt idx="16">
                  <c:v>28</c:v>
                </c:pt>
                <c:pt idx="17">
                  <c:v>28</c:v>
                </c:pt>
                <c:pt idx="18">
                  <c:v>23</c:v>
                </c:pt>
                <c:pt idx="19">
                  <c:v>30</c:v>
                </c:pt>
                <c:pt idx="2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F-4665-942C-A4F14109E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485959"/>
        <c:axId val="367488007"/>
      </c:barChart>
      <c:catAx>
        <c:axId val="367485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88007"/>
        <c:crosses val="autoZero"/>
        <c:auto val="1"/>
        <c:lblAlgn val="ctr"/>
        <c:lblOffset val="100"/>
        <c:noMultiLvlLbl val="0"/>
      </c:catAx>
      <c:valAx>
        <c:axId val="36748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85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[Book.xlsx]Sheet14!PivotTable2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Trial Phase Distribution</a:t>
            </a:r>
          </a:p>
        </c:rich>
      </c:tx>
      <c:layout>
        <c:manualLayout>
          <c:xMode val="edge"/>
          <c:yMode val="edge"/>
          <c:x val="0.4054560494031455"/>
          <c:y val="4.57142857142857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Sheet14!$B$1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03-4BE9-86DC-B993269B0E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03-4BE9-86DC-B993269B0EA0}"/>
              </c:ext>
            </c:extLst>
          </c:dPt>
          <c:cat>
            <c:strRef>
              <c:f>Sheet14!$A$2:$A$4</c:f>
              <c:strCache>
                <c:ptCount val="2"/>
                <c:pt idx="0">
                  <c:v>Phase 2</c:v>
                </c:pt>
                <c:pt idx="1">
                  <c:v>Phase 3</c:v>
                </c:pt>
              </c:strCache>
            </c:strRef>
          </c:cat>
          <c:val>
            <c:numRef>
              <c:f>Sheet14!$B$2:$B$4</c:f>
              <c:numCache>
                <c:formatCode>General</c:formatCode>
                <c:ptCount val="2"/>
                <c:pt idx="0">
                  <c:v>273</c:v>
                </c:pt>
                <c:pt idx="1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03-4BE9-86DC-B993269B0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 Rate by Therapy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cardiovascular</c:v>
                </c:pt>
                <c:pt idx="1">
                  <c:v>gastrointestinal</c:v>
                </c:pt>
                <c:pt idx="2">
                  <c:v>immunology</c:v>
                </c:pt>
                <c:pt idx="3">
                  <c:v>infectious</c:v>
                </c:pt>
                <c:pt idx="4">
                  <c:v>metabolic</c:v>
                </c:pt>
                <c:pt idx="5">
                  <c:v>neurology</c:v>
                </c:pt>
                <c:pt idx="6">
                  <c:v>oncology</c:v>
                </c:pt>
                <c:pt idx="7">
                  <c:v>psychiatry</c:v>
                </c:pt>
                <c:pt idx="8">
                  <c:v>rare_disease</c:v>
                </c:pt>
                <c:pt idx="9">
                  <c:v>respiratory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0"/>
                <c:pt idx="0">
                  <c:v>0.80597014925373134</c:v>
                </c:pt>
                <c:pt idx="1">
                  <c:v>0.65217391304347827</c:v>
                </c:pt>
                <c:pt idx="2">
                  <c:v>0.52702702702702697</c:v>
                </c:pt>
                <c:pt idx="3">
                  <c:v>0.74576271186440679</c:v>
                </c:pt>
                <c:pt idx="4">
                  <c:v>0.61702127659574468</c:v>
                </c:pt>
                <c:pt idx="5">
                  <c:v>0.27419354838709675</c:v>
                </c:pt>
                <c:pt idx="6">
                  <c:v>0.35</c:v>
                </c:pt>
                <c:pt idx="7">
                  <c:v>0.41176470588235292</c:v>
                </c:pt>
                <c:pt idx="8">
                  <c:v>0.55319148936170215</c:v>
                </c:pt>
                <c:pt idx="9">
                  <c:v>0.78260869565217395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8-4026-9932-94D2FADEC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085320"/>
        <c:axId val="1379091976"/>
      </c:barChart>
      <c:catAx>
        <c:axId val="137908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91976"/>
        <c:crosses val="autoZero"/>
        <c:auto val="1"/>
        <c:lblAlgn val="ctr"/>
        <c:lblOffset val="100"/>
        <c:noMultiLvlLbl val="0"/>
      </c:catAx>
      <c:valAx>
        <c:axId val="137909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8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0</xdr:row>
      <xdr:rowOff>85725</xdr:rowOff>
    </xdr:from>
    <xdr:to>
      <xdr:col>15</xdr:col>
      <xdr:colOff>152400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30D176-8681-2CA8-C73D-C1591811D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66675</xdr:colOff>
      <xdr:row>0</xdr:row>
      <xdr:rowOff>161925</xdr:rowOff>
    </xdr:from>
    <xdr:to>
      <xdr:col>5</xdr:col>
      <xdr:colOff>66675</xdr:colOff>
      <xdr:row>14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ponsor">
              <a:extLst>
                <a:ext uri="{FF2B5EF4-FFF2-40B4-BE49-F238E27FC236}">
                  <a16:creationId xmlns:a16="http://schemas.microsoft.com/office/drawing/2014/main" id="{7A4078F0-E016-EEDF-9539-A885C822211D}"/>
                </a:ext>
                <a:ext uri="{147F2762-F138-4A5C-976F-8EAC2B608ADB}">
                  <a16:predDERef xmlns:a16="http://schemas.microsoft.com/office/drawing/2014/main" pred="{A330D176-8681-2CA8-C73D-C1591811D3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ons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4100" y="161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</xdr:row>
      <xdr:rowOff>133350</xdr:rowOff>
    </xdr:from>
    <xdr:to>
      <xdr:col>9</xdr:col>
      <xdr:colOff>523875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08CDB8-A63E-D431-3B2F-1AD53C91D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10</xdr:col>
      <xdr:colOff>200025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19777-1083-8A8D-56B7-42B42F7AB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-9525</xdr:rowOff>
    </xdr:from>
    <xdr:to>
      <xdr:col>9</xdr:col>
      <xdr:colOff>590550</xdr:colOff>
      <xdr:row>21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503D6-3097-493F-B16C-812201D22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0</xdr:row>
      <xdr:rowOff>38100</xdr:rowOff>
    </xdr:from>
    <xdr:to>
      <xdr:col>17</xdr:col>
      <xdr:colOff>285750</xdr:colOff>
      <xdr:row>10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A4F271-0BF8-4693-89FE-1AAA16A958F5}"/>
            </a:ext>
            <a:ext uri="{147F2762-F138-4A5C-976F-8EAC2B608ADB}">
              <a16:predDERef xmlns:a16="http://schemas.microsoft.com/office/drawing/2014/main" pred="{E90503D6-3097-493F-B16C-812201D22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552450</xdr:colOff>
      <xdr:row>10</xdr:row>
      <xdr:rowOff>38100</xdr:rowOff>
    </xdr:from>
    <xdr:to>
      <xdr:col>18</xdr:col>
      <xdr:colOff>133350</xdr:colOff>
      <xdr:row>27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DC144-85BD-4BAF-886B-06002FCCC362}"/>
            </a:ext>
            <a:ext uri="{147F2762-F138-4A5C-976F-8EAC2B608ADB}">
              <a16:predDERef xmlns:a16="http://schemas.microsoft.com/office/drawing/2014/main" pred="{3DA4F271-0BF8-4693-89FE-1AAA16A95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2.878805324071" createdVersion="8" refreshedVersion="8" minRefreshableVersion="3" recordCount="599" xr:uid="{BF885371-7ABB-4C0E-9547-41EE5AC9BDCF}">
  <cacheSource type="worksheet">
    <worksheetSource ref="A1:L600" sheet="Sheet12"/>
  </cacheSource>
  <cacheFields count="12">
    <cacheField name="trial_id" numFmtId="0">
      <sharedItems/>
    </cacheField>
    <cacheField name="completion_date" numFmtId="164">
      <sharedItems containsDate="1" containsMixedTypes="1" minDate="2010-01-07T00:00:00" maxDate="2026-12-02T00:00:00"/>
    </cacheField>
    <cacheField name="year" numFmtId="0">
      <sharedItems containsSemiMixedTypes="0" containsString="0" containsNumber="1" containsInteger="1" minValue="2010" maxValue="2026"/>
    </cacheField>
    <cacheField name="sponsor" numFmtId="0">
      <sharedItems count="21">
        <s v="BioNTech"/>
        <s v="Pfizer"/>
        <s v="GSK"/>
        <s v="Takeda"/>
        <s v="Novo Nordisk"/>
        <s v="Bayer"/>
        <s v="Vertex"/>
        <s v="Eli Lilly"/>
        <s v="Roche"/>
        <s v="Merck"/>
        <s v="BMS"/>
        <s v="J&amp;J"/>
        <s v="Novartis"/>
        <s v="Moderna"/>
        <s v="Gilead"/>
        <s v="Sanofi"/>
        <s v="AstraZeneca"/>
        <s v="AbbVie"/>
        <s v="Regeneron"/>
        <s v="Amgen"/>
        <s v="Boehringer Ingelheim"/>
      </sharedItems>
    </cacheField>
    <cacheField name="therapy_area" numFmtId="0">
      <sharedItems count="10">
        <s v="neurology"/>
        <s v="metabolic"/>
        <s v="oncology"/>
        <s v="infectious"/>
        <s v="cardiovascular"/>
        <s v="respiratory"/>
        <s v="gastrointestinal"/>
        <s v="immunology"/>
        <s v="psychiatry"/>
        <s v="rare_disease"/>
      </sharedItems>
    </cacheField>
    <cacheField name="phase" numFmtId="0">
      <sharedItems count="2">
        <s v="Phase 2"/>
        <s v="Phase 3"/>
      </sharedItems>
    </cacheField>
    <cacheField name="enrollment_n" numFmtId="0">
      <sharedItems containsSemiMixedTypes="0" containsString="0" containsNumber="1" containsInteger="1" minValue="47" maxValue="4179"/>
    </cacheField>
    <cacheField name="duration_months" numFmtId="0">
      <sharedItems containsSemiMixedTypes="0" containsString="0" containsNumber="1" containsInteger="1" minValue="6" maxValue="56"/>
    </cacheField>
    <cacheField name="outcome" numFmtId="0">
      <sharedItems/>
    </cacheField>
    <cacheField name="is_success" numFmtId="0">
      <sharedItems containsSemiMixedTypes="0" containsString="0" containsNumber="1" containsInteger="1" minValue="0" maxValue="1"/>
    </cacheField>
    <cacheField name="is_failure" numFmtId="0">
      <sharedItems containsSemiMixedTypes="0" containsString="0" containsNumber="1" containsInteger="1" minValue="0" maxValue="1"/>
    </cacheField>
    <cacheField name="estimated_stock_impact_pct" numFmtId="0">
      <sharedItems containsSemiMixedTypes="0" containsString="0" containsNumber="1" minValue="-41.2" maxValue="21.6"/>
    </cacheField>
  </cacheFields>
  <extLst>
    <ext xmlns:x14="http://schemas.microsoft.com/office/spreadsheetml/2009/9/main" uri="{725AE2AE-9491-48be-B2B4-4EB974FC3084}">
      <x14:pivotCacheDefinition pivotCacheId="19322914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9">
  <r>
    <s v="NCT00000024"/>
    <d v="2010-05-01T00:00:00"/>
    <n v="2010"/>
    <x v="0"/>
    <x v="0"/>
    <x v="0"/>
    <n v="186"/>
    <n v="11"/>
    <s v="Met primary endpoint"/>
    <n v="1"/>
    <n v="0"/>
    <n v="6"/>
  </r>
  <r>
    <s v="NCT00000015"/>
    <s v="15-02-2010"/>
    <n v="2010"/>
    <x v="1"/>
    <x v="1"/>
    <x v="0"/>
    <n v="181"/>
    <n v="29"/>
    <s v="Mixed results"/>
    <n v="0"/>
    <n v="0"/>
    <n v="-0.7"/>
  </r>
  <r>
    <s v="NCT00000013"/>
    <s v="27-02-2010"/>
    <n v="2010"/>
    <x v="2"/>
    <x v="2"/>
    <x v="0"/>
    <n v="115"/>
    <n v="13"/>
    <s v="Failed primary endpoint"/>
    <n v="0"/>
    <n v="1"/>
    <n v="-33.200000000000003"/>
  </r>
  <r>
    <s v="NCT00000022"/>
    <d v="2010-02-03T00:00:00"/>
    <n v="2010"/>
    <x v="3"/>
    <x v="3"/>
    <x v="0"/>
    <n v="359"/>
    <n v="15"/>
    <s v="Met primary endpoint"/>
    <n v="1"/>
    <n v="0"/>
    <n v="12.4"/>
  </r>
  <r>
    <s v="NCT00000019"/>
    <d v="2010-09-04T00:00:00"/>
    <n v="2010"/>
    <x v="4"/>
    <x v="2"/>
    <x v="1"/>
    <n v="840"/>
    <n v="42"/>
    <s v="Failed primary endpoint"/>
    <n v="0"/>
    <n v="1"/>
    <n v="-14.7"/>
  </r>
  <r>
    <s v="NCT00000021"/>
    <s v="27-04-2010"/>
    <n v="2010"/>
    <x v="5"/>
    <x v="3"/>
    <x v="1"/>
    <n v="615"/>
    <n v="35"/>
    <s v="Met primary endpoint"/>
    <n v="1"/>
    <n v="0"/>
    <n v="6.1"/>
  </r>
  <r>
    <s v="NCT00000011"/>
    <s v="27-04-2010"/>
    <n v="2010"/>
    <x v="6"/>
    <x v="4"/>
    <x v="1"/>
    <n v="2496"/>
    <n v="36"/>
    <s v="Failed primary endpoint"/>
    <n v="0"/>
    <n v="1"/>
    <n v="-14.7"/>
  </r>
  <r>
    <s v="NCT00000014"/>
    <d v="2010-08-05T00:00:00"/>
    <n v="2010"/>
    <x v="0"/>
    <x v="2"/>
    <x v="1"/>
    <n v="1265"/>
    <n v="30"/>
    <s v="Failed primary endpoint"/>
    <n v="0"/>
    <n v="1"/>
    <n v="-23.7"/>
  </r>
  <r>
    <s v="NCT00000003"/>
    <s v="17-05-2010"/>
    <n v="2010"/>
    <x v="7"/>
    <x v="3"/>
    <x v="1"/>
    <n v="1115"/>
    <n v="34"/>
    <s v="Failed primary endpoint"/>
    <n v="0"/>
    <n v="1"/>
    <n v="-11.1"/>
  </r>
  <r>
    <s v="NCT00000028"/>
    <s v="19-06-2010"/>
    <n v="2010"/>
    <x v="0"/>
    <x v="5"/>
    <x v="1"/>
    <n v="2414"/>
    <n v="43"/>
    <s v="Met primary endpoint"/>
    <n v="1"/>
    <n v="0"/>
    <n v="13.7"/>
  </r>
  <r>
    <s v="NCT00000006"/>
    <s v="19-06-2010"/>
    <n v="2010"/>
    <x v="7"/>
    <x v="2"/>
    <x v="1"/>
    <n v="4107"/>
    <n v="37"/>
    <s v="Failed primary endpoint"/>
    <n v="0"/>
    <n v="1"/>
    <n v="-8.4"/>
  </r>
  <r>
    <s v="NCT00000017"/>
    <s v="21-06-2010"/>
    <n v="2010"/>
    <x v="8"/>
    <x v="5"/>
    <x v="0"/>
    <n v="266"/>
    <n v="25"/>
    <s v="Met primary endpoint"/>
    <n v="1"/>
    <n v="0"/>
    <n v="8.6"/>
  </r>
  <r>
    <s v="NCT00000034"/>
    <s v="25-06-2010"/>
    <n v="2010"/>
    <x v="5"/>
    <x v="2"/>
    <x v="0"/>
    <n v="207"/>
    <n v="17"/>
    <s v="Met primary endpoint"/>
    <n v="1"/>
    <n v="0"/>
    <n v="8.3000000000000007"/>
  </r>
  <r>
    <s v="NCT00000009"/>
    <s v="26-06-2010"/>
    <n v="2010"/>
    <x v="3"/>
    <x v="6"/>
    <x v="1"/>
    <n v="830"/>
    <n v="42"/>
    <s v="Met primary endpoint"/>
    <n v="1"/>
    <n v="0"/>
    <n v="8"/>
  </r>
  <r>
    <s v="NCT00000016"/>
    <d v="2010-01-07T00:00:00"/>
    <n v="2010"/>
    <x v="5"/>
    <x v="2"/>
    <x v="1"/>
    <n v="2258"/>
    <n v="39"/>
    <s v="Failed primary endpoint"/>
    <n v="0"/>
    <n v="1"/>
    <n v="-13.5"/>
  </r>
  <r>
    <s v="NCT00000012"/>
    <d v="2010-08-07T00:00:00"/>
    <n v="2010"/>
    <x v="9"/>
    <x v="2"/>
    <x v="0"/>
    <n v="358"/>
    <n v="24"/>
    <s v="Met primary endpoint"/>
    <n v="1"/>
    <n v="0"/>
    <n v="13.7"/>
  </r>
  <r>
    <s v="NCT00000005"/>
    <d v="2010-09-07T00:00:00"/>
    <n v="2010"/>
    <x v="10"/>
    <x v="3"/>
    <x v="1"/>
    <n v="2496"/>
    <n v="39"/>
    <s v="Mixed results"/>
    <n v="0"/>
    <n v="0"/>
    <n v="3.1"/>
  </r>
  <r>
    <s v="NCT00000029"/>
    <d v="2010-10-07T00:00:00"/>
    <n v="2010"/>
    <x v="5"/>
    <x v="0"/>
    <x v="0"/>
    <n v="180"/>
    <n v="8"/>
    <s v="Failed primary endpoint"/>
    <n v="0"/>
    <n v="1"/>
    <n v="-10.199999999999999"/>
  </r>
  <r>
    <s v="NCT00000032"/>
    <s v="25-07-2010"/>
    <n v="2010"/>
    <x v="8"/>
    <x v="2"/>
    <x v="1"/>
    <n v="3586"/>
    <n v="41"/>
    <s v="Failed primary endpoint"/>
    <n v="0"/>
    <n v="1"/>
    <n v="-11.3"/>
  </r>
  <r>
    <s v="NCT00000020"/>
    <d v="2010-07-08T00:00:00"/>
    <n v="2010"/>
    <x v="9"/>
    <x v="2"/>
    <x v="0"/>
    <n v="300"/>
    <n v="15"/>
    <s v="Mixed results"/>
    <n v="0"/>
    <n v="0"/>
    <n v="-6.1"/>
  </r>
  <r>
    <s v="NCT00000023"/>
    <s v="15-08-2010"/>
    <n v="2010"/>
    <x v="11"/>
    <x v="7"/>
    <x v="1"/>
    <n v="493"/>
    <n v="36"/>
    <s v="Met primary endpoint"/>
    <n v="1"/>
    <n v="0"/>
    <n v="6.1"/>
  </r>
  <r>
    <s v="NCT00000002"/>
    <s v="15-08-2010"/>
    <n v="2010"/>
    <x v="4"/>
    <x v="8"/>
    <x v="1"/>
    <n v="1035"/>
    <n v="37"/>
    <s v="Failed primary endpoint"/>
    <n v="0"/>
    <n v="1"/>
    <n v="-5"/>
  </r>
  <r>
    <s v="NCT00000027"/>
    <s v="17-08-2010"/>
    <n v="2010"/>
    <x v="6"/>
    <x v="4"/>
    <x v="0"/>
    <n v="418"/>
    <n v="21"/>
    <s v="Met primary endpoint"/>
    <n v="1"/>
    <n v="0"/>
    <n v="13"/>
  </r>
  <r>
    <s v="NCT00000030"/>
    <s v="18-08-2010"/>
    <n v="2010"/>
    <x v="8"/>
    <x v="9"/>
    <x v="1"/>
    <n v="1219"/>
    <n v="36"/>
    <s v="Failed primary endpoint"/>
    <n v="0"/>
    <n v="1"/>
    <n v="9.5"/>
  </r>
  <r>
    <s v="NCT00000018"/>
    <s v="22-08-2010"/>
    <n v="2010"/>
    <x v="2"/>
    <x v="1"/>
    <x v="1"/>
    <n v="3169"/>
    <n v="39"/>
    <s v="Met primary endpoint"/>
    <n v="1"/>
    <n v="0"/>
    <n v="7.7"/>
  </r>
  <r>
    <s v="NCT00000025"/>
    <s v="17-09-2010"/>
    <n v="2010"/>
    <x v="3"/>
    <x v="4"/>
    <x v="0"/>
    <n v="388"/>
    <n v="13"/>
    <s v="Met primary endpoint"/>
    <n v="1"/>
    <n v="0"/>
    <n v="-1.9"/>
  </r>
  <r>
    <s v="NCT00000026"/>
    <s v="21-09-2010"/>
    <n v="2010"/>
    <x v="1"/>
    <x v="4"/>
    <x v="0"/>
    <n v="502"/>
    <n v="22"/>
    <s v="Met primary endpoint"/>
    <n v="1"/>
    <n v="0"/>
    <n v="10.4"/>
  </r>
  <r>
    <s v="NCT00000004"/>
    <d v="2010-03-10T00:00:00"/>
    <n v="2010"/>
    <x v="7"/>
    <x v="3"/>
    <x v="1"/>
    <n v="797"/>
    <n v="47"/>
    <s v="Mixed results"/>
    <n v="0"/>
    <n v="0"/>
    <n v="0.4"/>
  </r>
  <r>
    <s v="NCT00000007"/>
    <s v="17-10-2010"/>
    <n v="2010"/>
    <x v="4"/>
    <x v="2"/>
    <x v="1"/>
    <n v="1570"/>
    <n v="36"/>
    <s v="Failed primary endpoint"/>
    <n v="0"/>
    <n v="1"/>
    <n v="-3.6"/>
  </r>
  <r>
    <s v="NCT00000001"/>
    <s v="27-10-2010"/>
    <n v="2010"/>
    <x v="11"/>
    <x v="1"/>
    <x v="1"/>
    <n v="898"/>
    <n v="36"/>
    <s v="Met primary endpoint"/>
    <n v="1"/>
    <n v="0"/>
    <n v="-1.7"/>
  </r>
  <r>
    <s v="NCT00000033"/>
    <d v="2010-06-11T00:00:00"/>
    <n v="2010"/>
    <x v="12"/>
    <x v="4"/>
    <x v="1"/>
    <n v="2235"/>
    <n v="36"/>
    <s v="Met primary endpoint"/>
    <n v="1"/>
    <n v="0"/>
    <n v="6.7"/>
  </r>
  <r>
    <s v="NCT00000031"/>
    <s v="15-11-2010"/>
    <n v="2010"/>
    <x v="8"/>
    <x v="2"/>
    <x v="0"/>
    <n v="436"/>
    <n v="24"/>
    <s v="Failed primary endpoint"/>
    <n v="0"/>
    <n v="1"/>
    <n v="-2.2000000000000002"/>
  </r>
  <r>
    <s v="NCT00000010"/>
    <s v="16-11-2010"/>
    <n v="2010"/>
    <x v="13"/>
    <x v="0"/>
    <x v="1"/>
    <n v="1232"/>
    <n v="25"/>
    <s v="Failed primary endpoint"/>
    <n v="0"/>
    <n v="1"/>
    <n v="-13.5"/>
  </r>
  <r>
    <s v="NCT00000008"/>
    <d v="2010-09-12T00:00:00"/>
    <n v="2010"/>
    <x v="12"/>
    <x v="2"/>
    <x v="1"/>
    <n v="1845"/>
    <n v="17"/>
    <s v="Failed primary endpoint"/>
    <n v="0"/>
    <n v="1"/>
    <n v="-23"/>
  </r>
  <r>
    <s v="NCT00000058"/>
    <d v="2011-04-01T00:00:00"/>
    <n v="2011"/>
    <x v="5"/>
    <x v="0"/>
    <x v="0"/>
    <n v="118"/>
    <n v="13"/>
    <s v="Met primary endpoint"/>
    <n v="1"/>
    <n v="0"/>
    <n v="18.3"/>
  </r>
  <r>
    <s v="NCT00000038"/>
    <d v="2011-08-01T00:00:00"/>
    <n v="2011"/>
    <x v="9"/>
    <x v="2"/>
    <x v="1"/>
    <n v="723"/>
    <n v="34"/>
    <s v="Met primary endpoint"/>
    <n v="1"/>
    <n v="0"/>
    <n v="10.6"/>
  </r>
  <r>
    <s v="NCT00000039"/>
    <s v="20-01-2011"/>
    <n v="2011"/>
    <x v="14"/>
    <x v="4"/>
    <x v="0"/>
    <n v="276"/>
    <n v="21"/>
    <s v="Mixed results"/>
    <n v="0"/>
    <n v="0"/>
    <n v="0.1"/>
  </r>
  <r>
    <s v="NCT00000055"/>
    <s v="27-01-2011"/>
    <n v="2011"/>
    <x v="0"/>
    <x v="0"/>
    <x v="1"/>
    <n v="794"/>
    <n v="29"/>
    <s v="Failed primary endpoint"/>
    <n v="0"/>
    <n v="1"/>
    <n v="-8.6"/>
  </r>
  <r>
    <s v="NCT00000045"/>
    <d v="2011-04-02T00:00:00"/>
    <n v="2011"/>
    <x v="6"/>
    <x v="4"/>
    <x v="0"/>
    <n v="348"/>
    <n v="6"/>
    <s v="Met primary endpoint"/>
    <n v="1"/>
    <n v="0"/>
    <n v="7"/>
  </r>
  <r>
    <s v="NCT00000046"/>
    <d v="2011-08-02T00:00:00"/>
    <n v="2011"/>
    <x v="15"/>
    <x v="7"/>
    <x v="1"/>
    <n v="1907"/>
    <n v="37"/>
    <s v="Met primary endpoint"/>
    <n v="1"/>
    <n v="0"/>
    <n v="-2.6"/>
  </r>
  <r>
    <s v="NCT00000050"/>
    <s v="19-02-2011"/>
    <n v="2011"/>
    <x v="16"/>
    <x v="7"/>
    <x v="0"/>
    <n v="104"/>
    <n v="17"/>
    <s v="Failed primary endpoint"/>
    <n v="0"/>
    <n v="1"/>
    <n v="-16"/>
  </r>
  <r>
    <s v="NCT00000060"/>
    <s v="23-02-2011"/>
    <n v="2011"/>
    <x v="1"/>
    <x v="7"/>
    <x v="1"/>
    <n v="1449"/>
    <n v="42"/>
    <s v="Met primary endpoint"/>
    <n v="1"/>
    <n v="0"/>
    <n v="5.4"/>
  </r>
  <r>
    <s v="NCT00000037"/>
    <s v="24-02-2011"/>
    <n v="2011"/>
    <x v="10"/>
    <x v="2"/>
    <x v="0"/>
    <n v="133"/>
    <n v="10"/>
    <s v="Met primary endpoint"/>
    <n v="1"/>
    <n v="0"/>
    <n v="21.6"/>
  </r>
  <r>
    <s v="NCT00000054"/>
    <d v="2011-04-03T00:00:00"/>
    <n v="2011"/>
    <x v="3"/>
    <x v="2"/>
    <x v="1"/>
    <n v="862"/>
    <n v="28"/>
    <s v="Mixed results"/>
    <n v="0"/>
    <n v="0"/>
    <n v="-5.9"/>
  </r>
  <r>
    <s v="NCT00000061"/>
    <d v="2011-07-03T00:00:00"/>
    <n v="2011"/>
    <x v="13"/>
    <x v="5"/>
    <x v="1"/>
    <n v="716"/>
    <n v="32"/>
    <s v="Met primary endpoint"/>
    <n v="1"/>
    <n v="0"/>
    <n v="6.4"/>
  </r>
  <r>
    <s v="NCT00000065"/>
    <s v="18-03-2011"/>
    <n v="2011"/>
    <x v="16"/>
    <x v="7"/>
    <x v="1"/>
    <n v="1007"/>
    <n v="37"/>
    <s v="Met primary endpoint"/>
    <n v="1"/>
    <n v="0"/>
    <n v="6.9"/>
  </r>
  <r>
    <s v="NCT00000062"/>
    <d v="2011-10-04T00:00:00"/>
    <n v="2011"/>
    <x v="0"/>
    <x v="8"/>
    <x v="1"/>
    <n v="711"/>
    <n v="34"/>
    <s v="Met primary endpoint"/>
    <n v="1"/>
    <n v="0"/>
    <n v="14.5"/>
  </r>
  <r>
    <s v="NCT00000072"/>
    <d v="2011-11-04T00:00:00"/>
    <n v="2011"/>
    <x v="9"/>
    <x v="2"/>
    <x v="0"/>
    <n v="142"/>
    <n v="18"/>
    <s v="Mixed results"/>
    <n v="0"/>
    <n v="0"/>
    <n v="-13.4"/>
  </r>
  <r>
    <s v="NCT00000047"/>
    <s v="24-04-2011"/>
    <n v="2011"/>
    <x v="12"/>
    <x v="0"/>
    <x v="0"/>
    <n v="270"/>
    <n v="9"/>
    <s v="Met primary endpoint"/>
    <n v="1"/>
    <n v="0"/>
    <n v="16.100000000000001"/>
  </r>
  <r>
    <s v="NCT00000042"/>
    <d v="2011-04-05T00:00:00"/>
    <n v="2011"/>
    <x v="4"/>
    <x v="7"/>
    <x v="0"/>
    <n v="121"/>
    <n v="27"/>
    <s v="Mixed results"/>
    <n v="0"/>
    <n v="0"/>
    <n v="-4.5999999999999996"/>
  </r>
  <r>
    <s v="NCT00000056"/>
    <d v="2011-11-05T00:00:00"/>
    <n v="2011"/>
    <x v="12"/>
    <x v="2"/>
    <x v="0"/>
    <n v="556"/>
    <n v="20"/>
    <s v="Met primary endpoint"/>
    <n v="1"/>
    <n v="0"/>
    <n v="10.5"/>
  </r>
  <r>
    <s v="NCT00000074"/>
    <s v="13-05-2011"/>
    <n v="2011"/>
    <x v="0"/>
    <x v="2"/>
    <x v="1"/>
    <n v="834"/>
    <n v="35"/>
    <s v="Failed primary endpoint"/>
    <n v="0"/>
    <n v="1"/>
    <n v="-17.2"/>
  </r>
  <r>
    <s v="NCT00000041"/>
    <d v="2011-02-06T00:00:00"/>
    <n v="2011"/>
    <x v="8"/>
    <x v="7"/>
    <x v="1"/>
    <n v="1416"/>
    <n v="34"/>
    <s v="Failed primary endpoint"/>
    <n v="0"/>
    <n v="1"/>
    <n v="-33.1"/>
  </r>
  <r>
    <s v="NCT00000064"/>
    <d v="2011-02-06T00:00:00"/>
    <n v="2011"/>
    <x v="9"/>
    <x v="2"/>
    <x v="1"/>
    <n v="923"/>
    <n v="27"/>
    <s v="Failed primary endpoint"/>
    <n v="0"/>
    <n v="1"/>
    <n v="-17.600000000000001"/>
  </r>
  <r>
    <s v="NCT00000069"/>
    <d v="2011-03-06T00:00:00"/>
    <n v="2011"/>
    <x v="6"/>
    <x v="9"/>
    <x v="0"/>
    <n v="145"/>
    <n v="23"/>
    <s v="Mixed results"/>
    <n v="0"/>
    <n v="0"/>
    <n v="-4.4000000000000004"/>
  </r>
  <r>
    <s v="NCT00000066"/>
    <d v="2011-03-06T00:00:00"/>
    <n v="2011"/>
    <x v="3"/>
    <x v="9"/>
    <x v="1"/>
    <n v="1010"/>
    <n v="44"/>
    <s v="Failed primary endpoint"/>
    <n v="0"/>
    <n v="1"/>
    <n v="-35.799999999999997"/>
  </r>
  <r>
    <s v="NCT00000053"/>
    <s v="19-06-2011"/>
    <n v="2011"/>
    <x v="16"/>
    <x v="3"/>
    <x v="1"/>
    <n v="489"/>
    <n v="40"/>
    <s v="Met primary endpoint"/>
    <n v="1"/>
    <n v="0"/>
    <n v="1.3"/>
  </r>
  <r>
    <s v="NCT00000035"/>
    <s v="23-06-2011"/>
    <n v="2011"/>
    <x v="10"/>
    <x v="2"/>
    <x v="0"/>
    <n v="350"/>
    <n v="26"/>
    <s v="Mixed results"/>
    <n v="0"/>
    <n v="0"/>
    <n v="-6.5"/>
  </r>
  <r>
    <s v="NCT00000059"/>
    <s v="26-06-2011"/>
    <n v="2011"/>
    <x v="7"/>
    <x v="1"/>
    <x v="0"/>
    <n v="360"/>
    <n v="22"/>
    <s v="Met primary endpoint"/>
    <n v="1"/>
    <n v="0"/>
    <n v="1.1000000000000001"/>
  </r>
  <r>
    <s v="NCT00000051"/>
    <d v="2011-01-07T00:00:00"/>
    <n v="2011"/>
    <x v="6"/>
    <x v="6"/>
    <x v="0"/>
    <n v="375"/>
    <n v="6"/>
    <s v="Met primary endpoint"/>
    <n v="1"/>
    <n v="0"/>
    <n v="4.8"/>
  </r>
  <r>
    <s v="NCT00000071"/>
    <d v="2011-07-07T00:00:00"/>
    <n v="2011"/>
    <x v="17"/>
    <x v="9"/>
    <x v="0"/>
    <n v="134"/>
    <n v="28"/>
    <s v="Met primary endpoint"/>
    <n v="1"/>
    <n v="0"/>
    <n v="6.4"/>
  </r>
  <r>
    <s v="NCT00000076"/>
    <d v="2011-10-07T00:00:00"/>
    <n v="2011"/>
    <x v="11"/>
    <x v="7"/>
    <x v="1"/>
    <n v="689"/>
    <n v="42"/>
    <s v="Failed primary endpoint"/>
    <n v="0"/>
    <n v="1"/>
    <n v="-0.9"/>
  </r>
  <r>
    <s v="NCT00000044"/>
    <d v="2011-12-07T00:00:00"/>
    <n v="2011"/>
    <x v="6"/>
    <x v="1"/>
    <x v="0"/>
    <n v="200"/>
    <n v="14"/>
    <s v="Mixed results"/>
    <n v="0"/>
    <n v="0"/>
    <n v="-3"/>
  </r>
  <r>
    <s v="NCT00000052"/>
    <s v="20-07-2011"/>
    <n v="2011"/>
    <x v="0"/>
    <x v="4"/>
    <x v="0"/>
    <n v="210"/>
    <n v="21"/>
    <s v="Met primary endpoint"/>
    <n v="1"/>
    <n v="0"/>
    <n v="4.8"/>
  </r>
  <r>
    <s v="NCT00000067"/>
    <s v="25-07-2011"/>
    <n v="2011"/>
    <x v="13"/>
    <x v="8"/>
    <x v="1"/>
    <n v="836"/>
    <n v="32"/>
    <s v="Met primary endpoint"/>
    <n v="1"/>
    <n v="0"/>
    <n v="12.8"/>
  </r>
  <r>
    <s v="NCT00000040"/>
    <d v="2011-03-08T00:00:00"/>
    <n v="2011"/>
    <x v="7"/>
    <x v="2"/>
    <x v="1"/>
    <n v="1818"/>
    <n v="30"/>
    <s v="Met primary endpoint"/>
    <n v="1"/>
    <n v="0"/>
    <n v="-1.1000000000000001"/>
  </r>
  <r>
    <s v="NCT00000063"/>
    <s v="13-08-2011"/>
    <n v="2011"/>
    <x v="8"/>
    <x v="2"/>
    <x v="1"/>
    <n v="498"/>
    <n v="29"/>
    <s v="Failed primary endpoint"/>
    <n v="0"/>
    <n v="1"/>
    <n v="-0.5"/>
  </r>
  <r>
    <s v="NCT00000048"/>
    <s v="18-09-2011"/>
    <n v="2011"/>
    <x v="18"/>
    <x v="1"/>
    <x v="0"/>
    <n v="148"/>
    <n v="9"/>
    <s v="Met primary endpoint"/>
    <n v="1"/>
    <n v="0"/>
    <n v="10.7"/>
  </r>
  <r>
    <s v="NCT00000036"/>
    <d v="2011-07-10T00:00:00"/>
    <n v="2011"/>
    <x v="13"/>
    <x v="2"/>
    <x v="0"/>
    <n v="251"/>
    <n v="18"/>
    <s v="Mixed results"/>
    <n v="0"/>
    <n v="0"/>
    <n v="-1.7"/>
  </r>
  <r>
    <s v="NCT00000068"/>
    <d v="2011-08-10T00:00:00"/>
    <n v="2011"/>
    <x v="13"/>
    <x v="5"/>
    <x v="0"/>
    <n v="163"/>
    <n v="10"/>
    <s v="Met primary endpoint"/>
    <n v="1"/>
    <n v="0"/>
    <n v="4.8"/>
  </r>
  <r>
    <s v="NCT00000043"/>
    <d v="2011-01-11T00:00:00"/>
    <n v="2011"/>
    <x v="8"/>
    <x v="4"/>
    <x v="1"/>
    <n v="1179"/>
    <n v="45"/>
    <s v="Met primary endpoint"/>
    <n v="1"/>
    <n v="0"/>
    <n v="7.6"/>
  </r>
  <r>
    <s v="NCT00000070"/>
    <d v="2011-05-11T00:00:00"/>
    <n v="2011"/>
    <x v="9"/>
    <x v="3"/>
    <x v="1"/>
    <n v="1639"/>
    <n v="19"/>
    <s v="Mixed results"/>
    <n v="0"/>
    <n v="0"/>
    <n v="-0.8"/>
  </r>
  <r>
    <s v="NCT00000057"/>
    <s v="18-11-2011"/>
    <n v="2011"/>
    <x v="4"/>
    <x v="3"/>
    <x v="0"/>
    <n v="125"/>
    <n v="22"/>
    <s v="Met primary endpoint"/>
    <n v="1"/>
    <n v="0"/>
    <n v="2.6"/>
  </r>
  <r>
    <s v="NCT00000073"/>
    <d v="2011-08-12T00:00:00"/>
    <n v="2011"/>
    <x v="10"/>
    <x v="4"/>
    <x v="0"/>
    <n v="274"/>
    <n v="18"/>
    <s v="Met primary endpoint"/>
    <n v="1"/>
    <n v="0"/>
    <n v="0.7"/>
  </r>
  <r>
    <s v="NCT00000075"/>
    <d v="2011-11-12T00:00:00"/>
    <n v="2011"/>
    <x v="11"/>
    <x v="2"/>
    <x v="1"/>
    <n v="1190"/>
    <n v="44"/>
    <s v="Mixed results"/>
    <n v="0"/>
    <n v="0"/>
    <n v="-6"/>
  </r>
  <r>
    <s v="NCT00000049"/>
    <s v="26-12-2011"/>
    <n v="2011"/>
    <x v="2"/>
    <x v="0"/>
    <x v="0"/>
    <n v="250"/>
    <n v="12"/>
    <s v="Mixed results"/>
    <n v="0"/>
    <n v="0"/>
    <n v="0.1"/>
  </r>
  <r>
    <s v="NCT00000114"/>
    <d v="2012-02-01T00:00:00"/>
    <n v="2012"/>
    <x v="12"/>
    <x v="2"/>
    <x v="1"/>
    <n v="1631"/>
    <n v="32"/>
    <s v="Failed primary endpoint"/>
    <n v="0"/>
    <n v="1"/>
    <n v="2.2000000000000002"/>
  </r>
  <r>
    <s v="NCT00000094"/>
    <d v="2012-01-02T00:00:00"/>
    <n v="2012"/>
    <x v="12"/>
    <x v="0"/>
    <x v="1"/>
    <n v="484"/>
    <n v="43"/>
    <s v="Failed primary endpoint"/>
    <n v="0"/>
    <n v="1"/>
    <n v="-11.2"/>
  </r>
  <r>
    <s v="NCT00000081"/>
    <d v="2012-01-02T00:00:00"/>
    <n v="2012"/>
    <x v="4"/>
    <x v="1"/>
    <x v="0"/>
    <n v="192"/>
    <n v="25"/>
    <s v="Met primary endpoint"/>
    <n v="1"/>
    <n v="0"/>
    <n v="7.8"/>
  </r>
  <r>
    <s v="NCT00000088"/>
    <d v="2012-08-02T00:00:00"/>
    <n v="2012"/>
    <x v="11"/>
    <x v="2"/>
    <x v="1"/>
    <n v="356"/>
    <n v="28"/>
    <s v="Failed primary endpoint"/>
    <n v="0"/>
    <n v="1"/>
    <n v="-26.5"/>
  </r>
  <r>
    <s v="NCT00000084"/>
    <d v="2012-10-02T00:00:00"/>
    <n v="2012"/>
    <x v="10"/>
    <x v="0"/>
    <x v="1"/>
    <n v="551"/>
    <n v="38"/>
    <s v="Met primary endpoint"/>
    <n v="1"/>
    <n v="0"/>
    <n v="8.3000000000000007"/>
  </r>
  <r>
    <s v="NCT00000077"/>
    <d v="2012-11-02T00:00:00"/>
    <n v="2012"/>
    <x v="4"/>
    <x v="3"/>
    <x v="1"/>
    <n v="1990"/>
    <n v="37"/>
    <s v="Met primary endpoint"/>
    <n v="1"/>
    <n v="0"/>
    <n v="14.1"/>
  </r>
  <r>
    <s v="NCT00000102"/>
    <d v="2012-11-02T00:00:00"/>
    <n v="2012"/>
    <x v="19"/>
    <x v="9"/>
    <x v="0"/>
    <n v="438"/>
    <n v="10"/>
    <s v="Met primary endpoint"/>
    <n v="1"/>
    <n v="0"/>
    <n v="6.7"/>
  </r>
  <r>
    <s v="NCT00000082"/>
    <s v="20-02-2012"/>
    <n v="2012"/>
    <x v="11"/>
    <x v="5"/>
    <x v="0"/>
    <n v="214"/>
    <n v="22"/>
    <s v="Met primary endpoint"/>
    <n v="1"/>
    <n v="0"/>
    <n v="9.1999999999999993"/>
  </r>
  <r>
    <s v="NCT00000098"/>
    <s v="27-02-2012"/>
    <n v="2012"/>
    <x v="1"/>
    <x v="2"/>
    <x v="0"/>
    <n v="575"/>
    <n v="11"/>
    <s v="Met primary endpoint"/>
    <n v="1"/>
    <n v="0"/>
    <n v="6.3"/>
  </r>
  <r>
    <s v="NCT00000115"/>
    <d v="2012-08-04T00:00:00"/>
    <n v="2012"/>
    <x v="7"/>
    <x v="4"/>
    <x v="1"/>
    <n v="852"/>
    <n v="29"/>
    <s v="Failed primary endpoint"/>
    <n v="0"/>
    <n v="1"/>
    <n v="-4.9000000000000004"/>
  </r>
  <r>
    <s v="NCT00000079"/>
    <d v="2012-12-04T00:00:00"/>
    <n v="2012"/>
    <x v="18"/>
    <x v="2"/>
    <x v="1"/>
    <n v="1874"/>
    <n v="32"/>
    <s v="Met primary endpoint"/>
    <n v="1"/>
    <n v="0"/>
    <n v="7.8"/>
  </r>
  <r>
    <s v="NCT00000110"/>
    <d v="2012-12-04T00:00:00"/>
    <n v="2012"/>
    <x v="1"/>
    <x v="9"/>
    <x v="0"/>
    <n v="242"/>
    <n v="14"/>
    <s v="Failed primary endpoint"/>
    <n v="0"/>
    <n v="1"/>
    <n v="-11.7"/>
  </r>
  <r>
    <s v="NCT00000111"/>
    <s v="17-04-2012"/>
    <n v="2012"/>
    <x v="1"/>
    <x v="8"/>
    <x v="1"/>
    <n v="1962"/>
    <n v="34"/>
    <s v="Failed primary endpoint"/>
    <n v="0"/>
    <n v="1"/>
    <n v="-2.1"/>
  </r>
  <r>
    <s v="NCT00000104"/>
    <s v="19-04-2012"/>
    <n v="2012"/>
    <x v="2"/>
    <x v="0"/>
    <x v="1"/>
    <n v="1145"/>
    <n v="29"/>
    <s v="Failed primary endpoint"/>
    <n v="0"/>
    <n v="1"/>
    <n v="2.6"/>
  </r>
  <r>
    <s v="NCT00000089"/>
    <s v="22-04-2012"/>
    <n v="2012"/>
    <x v="7"/>
    <x v="3"/>
    <x v="0"/>
    <n v="217"/>
    <n v="11"/>
    <s v="Met primary endpoint"/>
    <n v="1"/>
    <n v="0"/>
    <n v="4.4000000000000004"/>
  </r>
  <r>
    <s v="NCT00000117"/>
    <s v="24-04-2012"/>
    <n v="2012"/>
    <x v="5"/>
    <x v="4"/>
    <x v="0"/>
    <n v="185"/>
    <n v="18"/>
    <s v="Met primary endpoint"/>
    <n v="1"/>
    <n v="0"/>
    <n v="12.9"/>
  </r>
  <r>
    <s v="NCT00000100"/>
    <s v="25-04-2012"/>
    <n v="2012"/>
    <x v="18"/>
    <x v="2"/>
    <x v="1"/>
    <n v="641"/>
    <n v="40"/>
    <s v="Met primary endpoint"/>
    <n v="1"/>
    <n v="0"/>
    <n v="6"/>
  </r>
  <r>
    <s v="NCT00000095"/>
    <s v="15-05-2012"/>
    <n v="2012"/>
    <x v="20"/>
    <x v="1"/>
    <x v="0"/>
    <n v="149"/>
    <n v="25"/>
    <s v="Mixed results"/>
    <n v="0"/>
    <n v="0"/>
    <n v="-6.2"/>
  </r>
  <r>
    <s v="NCT00000090"/>
    <s v="24-05-2012"/>
    <n v="2012"/>
    <x v="19"/>
    <x v="2"/>
    <x v="1"/>
    <n v="2342"/>
    <n v="27"/>
    <s v="Failed primary endpoint"/>
    <n v="0"/>
    <n v="1"/>
    <n v="-18.5"/>
  </r>
  <r>
    <s v="NCT00000080"/>
    <d v="2012-04-06T00:00:00"/>
    <n v="2012"/>
    <x v="16"/>
    <x v="7"/>
    <x v="0"/>
    <n v="217"/>
    <n v="16"/>
    <s v="Met primary endpoint"/>
    <n v="1"/>
    <n v="0"/>
    <n v="7.2"/>
  </r>
  <r>
    <s v="NCT00000106"/>
    <d v="2012-01-07T00:00:00"/>
    <n v="2012"/>
    <x v="15"/>
    <x v="5"/>
    <x v="1"/>
    <n v="1956"/>
    <n v="29"/>
    <s v="Met primary endpoint"/>
    <n v="1"/>
    <n v="0"/>
    <n v="15.4"/>
  </r>
  <r>
    <s v="NCT00000101"/>
    <d v="2012-02-07T00:00:00"/>
    <n v="2012"/>
    <x v="18"/>
    <x v="2"/>
    <x v="1"/>
    <n v="794"/>
    <n v="38"/>
    <s v="Met primary endpoint"/>
    <n v="1"/>
    <n v="0"/>
    <n v="0.5"/>
  </r>
  <r>
    <s v="NCT00000099"/>
    <s v="21-07-2012"/>
    <n v="2012"/>
    <x v="9"/>
    <x v="0"/>
    <x v="0"/>
    <n v="260"/>
    <n v="14"/>
    <s v="Met primary endpoint"/>
    <n v="1"/>
    <n v="0"/>
    <n v="5.7"/>
  </r>
  <r>
    <s v="NCT00000107"/>
    <s v="27-07-2012"/>
    <n v="2012"/>
    <x v="0"/>
    <x v="4"/>
    <x v="0"/>
    <n v="270"/>
    <n v="16"/>
    <s v="Met primary endpoint"/>
    <n v="1"/>
    <n v="0"/>
    <n v="3.5"/>
  </r>
  <r>
    <s v="NCT00000105"/>
    <d v="2012-01-08T00:00:00"/>
    <n v="2012"/>
    <x v="0"/>
    <x v="9"/>
    <x v="1"/>
    <n v="3409"/>
    <n v="35"/>
    <s v="Failed primary endpoint"/>
    <n v="0"/>
    <n v="1"/>
    <n v="-16.399999999999999"/>
  </r>
  <r>
    <s v="NCT00000112"/>
    <d v="2012-02-08T00:00:00"/>
    <n v="2012"/>
    <x v="16"/>
    <x v="9"/>
    <x v="1"/>
    <n v="2629"/>
    <n v="40"/>
    <s v="Met primary endpoint"/>
    <n v="1"/>
    <n v="0"/>
    <n v="21"/>
  </r>
  <r>
    <s v="NCT00000078"/>
    <d v="2012-06-08T00:00:00"/>
    <n v="2012"/>
    <x v="2"/>
    <x v="2"/>
    <x v="1"/>
    <n v="2673"/>
    <n v="34"/>
    <s v="Failed primary endpoint"/>
    <n v="0"/>
    <n v="1"/>
    <n v="-21.9"/>
  </r>
  <r>
    <s v="NCT00000086"/>
    <d v="2012-11-08T00:00:00"/>
    <n v="2012"/>
    <x v="20"/>
    <x v="0"/>
    <x v="0"/>
    <n v="324"/>
    <n v="33"/>
    <s v="Failed primary endpoint"/>
    <n v="0"/>
    <n v="1"/>
    <n v="-36.6"/>
  </r>
  <r>
    <s v="NCT00000083"/>
    <s v="14-08-2012"/>
    <n v="2012"/>
    <x v="13"/>
    <x v="0"/>
    <x v="0"/>
    <n v="246"/>
    <n v="11"/>
    <s v="Mixed results"/>
    <n v="0"/>
    <n v="0"/>
    <n v="-7.6"/>
  </r>
  <r>
    <s v="NCT00000109"/>
    <d v="2012-09-09T00:00:00"/>
    <n v="2012"/>
    <x v="1"/>
    <x v="3"/>
    <x v="0"/>
    <n v="550"/>
    <n v="17"/>
    <s v="Met primary endpoint"/>
    <n v="1"/>
    <n v="0"/>
    <n v="16.600000000000001"/>
  </r>
  <r>
    <s v="NCT00000093"/>
    <s v="13-09-2012"/>
    <n v="2012"/>
    <x v="1"/>
    <x v="6"/>
    <x v="0"/>
    <n v="275"/>
    <n v="26"/>
    <s v="Met primary endpoint"/>
    <n v="1"/>
    <n v="0"/>
    <n v="13.1"/>
  </r>
  <r>
    <s v="NCT00000092"/>
    <s v="21-09-2012"/>
    <n v="2012"/>
    <x v="3"/>
    <x v="0"/>
    <x v="1"/>
    <n v="1166"/>
    <n v="32"/>
    <s v="Failed primary endpoint"/>
    <n v="0"/>
    <n v="1"/>
    <n v="-17.5"/>
  </r>
  <r>
    <s v="NCT00000116"/>
    <s v="24-09-2012"/>
    <n v="2012"/>
    <x v="13"/>
    <x v="2"/>
    <x v="1"/>
    <n v="4179"/>
    <n v="43"/>
    <s v="Failed primary endpoint"/>
    <n v="0"/>
    <n v="1"/>
    <n v="-10.5"/>
  </r>
  <r>
    <s v="NCT00000113"/>
    <d v="2012-02-10T00:00:00"/>
    <n v="2012"/>
    <x v="10"/>
    <x v="2"/>
    <x v="1"/>
    <n v="1065"/>
    <n v="23"/>
    <s v="Met primary endpoint"/>
    <n v="1"/>
    <n v="0"/>
    <n v="3.6"/>
  </r>
  <r>
    <s v="NCT00000085"/>
    <d v="2012-04-10T00:00:00"/>
    <n v="2012"/>
    <x v="11"/>
    <x v="2"/>
    <x v="0"/>
    <n v="320"/>
    <n v="36"/>
    <s v="Met primary endpoint"/>
    <n v="1"/>
    <n v="0"/>
    <n v="-2.1"/>
  </r>
  <r>
    <s v="NCT00000097"/>
    <s v="21-10-2012"/>
    <n v="2012"/>
    <x v="16"/>
    <x v="2"/>
    <x v="1"/>
    <n v="662"/>
    <n v="42"/>
    <s v="Mixed results"/>
    <n v="0"/>
    <n v="0"/>
    <n v="1.6"/>
  </r>
  <r>
    <s v="NCT00000096"/>
    <s v="22-10-2012"/>
    <n v="2012"/>
    <x v="16"/>
    <x v="2"/>
    <x v="0"/>
    <n v="688"/>
    <n v="14"/>
    <s v="Met primary endpoint"/>
    <n v="1"/>
    <n v="0"/>
    <n v="3.9"/>
  </r>
  <r>
    <s v="NCT00000108"/>
    <d v="2012-04-11T00:00:00"/>
    <n v="2012"/>
    <x v="5"/>
    <x v="2"/>
    <x v="0"/>
    <n v="497"/>
    <n v="21"/>
    <s v="Met primary endpoint"/>
    <n v="1"/>
    <n v="0"/>
    <n v="11.9"/>
  </r>
  <r>
    <s v="NCT00000103"/>
    <s v="15-11-2012"/>
    <n v="2012"/>
    <x v="13"/>
    <x v="0"/>
    <x v="1"/>
    <n v="478"/>
    <n v="34"/>
    <s v="Failed primary endpoint"/>
    <n v="0"/>
    <n v="1"/>
    <n v="-14.8"/>
  </r>
  <r>
    <s v="NCT00000087"/>
    <s v="22-11-2012"/>
    <n v="2012"/>
    <x v="5"/>
    <x v="2"/>
    <x v="0"/>
    <n v="151"/>
    <n v="18"/>
    <s v="Failed primary endpoint"/>
    <n v="0"/>
    <n v="1"/>
    <n v="-2.7"/>
  </r>
  <r>
    <s v="NCT00000091"/>
    <s v="19-12-2012"/>
    <n v="2012"/>
    <x v="4"/>
    <x v="2"/>
    <x v="0"/>
    <n v="590"/>
    <n v="29"/>
    <s v="Failed primary endpoint"/>
    <n v="0"/>
    <n v="1"/>
    <n v="-9.5"/>
  </r>
  <r>
    <s v="NCT00000132"/>
    <d v="2013-11-01T00:00:00"/>
    <n v="2013"/>
    <x v="19"/>
    <x v="7"/>
    <x v="0"/>
    <n v="182"/>
    <n v="17"/>
    <s v="Met primary endpoint"/>
    <n v="1"/>
    <n v="0"/>
    <n v="13.5"/>
  </r>
  <r>
    <s v="NCT00000124"/>
    <d v="2013-11-01T00:00:00"/>
    <n v="2013"/>
    <x v="15"/>
    <x v="4"/>
    <x v="0"/>
    <n v="225"/>
    <n v="17"/>
    <s v="Met primary endpoint"/>
    <n v="1"/>
    <n v="0"/>
    <n v="5.7"/>
  </r>
  <r>
    <s v="NCT00000130"/>
    <s v="23-01-2013"/>
    <n v="2013"/>
    <x v="2"/>
    <x v="0"/>
    <x v="1"/>
    <n v="1689"/>
    <n v="27"/>
    <s v="Failed primary endpoint"/>
    <n v="0"/>
    <n v="1"/>
    <n v="-12.8"/>
  </r>
  <r>
    <s v="NCT00000126"/>
    <d v="2013-01-02T00:00:00"/>
    <n v="2013"/>
    <x v="10"/>
    <x v="7"/>
    <x v="1"/>
    <n v="832"/>
    <n v="35"/>
    <s v="Mixed results"/>
    <n v="0"/>
    <n v="0"/>
    <n v="-7.6"/>
  </r>
  <r>
    <s v="NCT00000135"/>
    <d v="2013-01-02T00:00:00"/>
    <n v="2013"/>
    <x v="20"/>
    <x v="1"/>
    <x v="1"/>
    <n v="1527"/>
    <n v="34"/>
    <s v="Failed primary endpoint"/>
    <n v="0"/>
    <n v="1"/>
    <n v="-8"/>
  </r>
  <r>
    <s v="NCT00000123"/>
    <d v="2013-02-02T00:00:00"/>
    <n v="2013"/>
    <x v="14"/>
    <x v="9"/>
    <x v="1"/>
    <n v="571"/>
    <n v="34"/>
    <s v="Failed primary endpoint"/>
    <n v="0"/>
    <n v="1"/>
    <n v="-14.9"/>
  </r>
  <r>
    <s v="NCT00000150"/>
    <d v="2013-08-02T00:00:00"/>
    <n v="2013"/>
    <x v="12"/>
    <x v="7"/>
    <x v="1"/>
    <n v="679"/>
    <n v="39"/>
    <s v="Met primary endpoint"/>
    <n v="1"/>
    <n v="0"/>
    <n v="7.3"/>
  </r>
  <r>
    <s v="NCT00000143"/>
    <s v="13-02-2013"/>
    <n v="2013"/>
    <x v="4"/>
    <x v="4"/>
    <x v="1"/>
    <n v="1938"/>
    <n v="31"/>
    <s v="Met primary endpoint"/>
    <n v="1"/>
    <n v="0"/>
    <n v="6.4"/>
  </r>
  <r>
    <s v="NCT00000145"/>
    <s v="27-03-2013"/>
    <n v="2013"/>
    <x v="8"/>
    <x v="2"/>
    <x v="1"/>
    <n v="604"/>
    <n v="29"/>
    <s v="Mixed results"/>
    <n v="0"/>
    <n v="0"/>
    <n v="-6.1"/>
  </r>
  <r>
    <s v="NCT00000152"/>
    <s v="19-04-2013"/>
    <n v="2013"/>
    <x v="1"/>
    <x v="7"/>
    <x v="1"/>
    <n v="1065"/>
    <n v="46"/>
    <s v="Mixed results"/>
    <n v="0"/>
    <n v="0"/>
    <n v="4.5"/>
  </r>
  <r>
    <s v="NCT00000127"/>
    <s v="26-04-2013"/>
    <n v="2013"/>
    <x v="9"/>
    <x v="2"/>
    <x v="1"/>
    <n v="838"/>
    <n v="36"/>
    <s v="Failed primary endpoint"/>
    <n v="0"/>
    <n v="1"/>
    <n v="-34.5"/>
  </r>
  <r>
    <s v="NCT00000131"/>
    <d v="2013-02-05T00:00:00"/>
    <n v="2013"/>
    <x v="7"/>
    <x v="4"/>
    <x v="0"/>
    <n v="142"/>
    <n v="17"/>
    <s v="Met primary endpoint"/>
    <n v="1"/>
    <n v="0"/>
    <n v="-4.5"/>
  </r>
  <r>
    <s v="NCT00000118"/>
    <d v="2013-12-05T00:00:00"/>
    <n v="2013"/>
    <x v="8"/>
    <x v="9"/>
    <x v="0"/>
    <n v="93"/>
    <n v="9"/>
    <s v="Mixed results"/>
    <n v="0"/>
    <n v="0"/>
    <n v="-3.6"/>
  </r>
  <r>
    <s v="NCT00000144"/>
    <s v="16-05-2013"/>
    <n v="2013"/>
    <x v="8"/>
    <x v="0"/>
    <x v="0"/>
    <n v="206"/>
    <n v="22"/>
    <s v="Mixed results"/>
    <n v="0"/>
    <n v="0"/>
    <n v="-5"/>
  </r>
  <r>
    <s v="NCT00000125"/>
    <d v="2013-02-06T00:00:00"/>
    <n v="2013"/>
    <x v="19"/>
    <x v="1"/>
    <x v="1"/>
    <n v="2212"/>
    <n v="29"/>
    <s v="Failed primary endpoint"/>
    <n v="0"/>
    <n v="1"/>
    <n v="-9.1"/>
  </r>
  <r>
    <s v="NCT00000122"/>
    <d v="2013-05-06T00:00:00"/>
    <n v="2013"/>
    <x v="11"/>
    <x v="0"/>
    <x v="1"/>
    <n v="845"/>
    <n v="35"/>
    <s v="Met primary endpoint"/>
    <n v="1"/>
    <n v="0"/>
    <n v="13.3"/>
  </r>
  <r>
    <s v="NCT00000128"/>
    <d v="2013-08-06T00:00:00"/>
    <n v="2013"/>
    <x v="7"/>
    <x v="1"/>
    <x v="1"/>
    <n v="1121"/>
    <n v="38"/>
    <s v="Met primary endpoint"/>
    <n v="1"/>
    <n v="0"/>
    <n v="4.8"/>
  </r>
  <r>
    <s v="NCT00000156"/>
    <d v="2013-11-06T00:00:00"/>
    <n v="2013"/>
    <x v="16"/>
    <x v="2"/>
    <x v="1"/>
    <n v="889"/>
    <n v="38"/>
    <s v="Met primary endpoint"/>
    <n v="1"/>
    <n v="0"/>
    <n v="17.600000000000001"/>
  </r>
  <r>
    <s v="NCT00000119"/>
    <s v="15-06-2013"/>
    <n v="2013"/>
    <x v="16"/>
    <x v="4"/>
    <x v="1"/>
    <n v="1722"/>
    <n v="42"/>
    <s v="Failed primary endpoint"/>
    <n v="0"/>
    <n v="1"/>
    <n v="-4.3"/>
  </r>
  <r>
    <s v="NCT00000121"/>
    <s v="16-06-2013"/>
    <n v="2013"/>
    <x v="4"/>
    <x v="2"/>
    <x v="1"/>
    <n v="543"/>
    <n v="29"/>
    <s v="Failed primary endpoint"/>
    <n v="0"/>
    <n v="1"/>
    <n v="-0.9"/>
  </r>
  <r>
    <s v="NCT00000149"/>
    <s v="18-06-2013"/>
    <n v="2013"/>
    <x v="17"/>
    <x v="1"/>
    <x v="1"/>
    <n v="1502"/>
    <n v="37"/>
    <s v="Mixed results"/>
    <n v="0"/>
    <n v="0"/>
    <n v="2.9"/>
  </r>
  <r>
    <s v="NCT00000129"/>
    <s v="25-06-2013"/>
    <n v="2013"/>
    <x v="2"/>
    <x v="2"/>
    <x v="1"/>
    <n v="952"/>
    <n v="35"/>
    <s v="Failed primary endpoint"/>
    <n v="0"/>
    <n v="1"/>
    <n v="-20.2"/>
  </r>
  <r>
    <s v="NCT00000137"/>
    <d v="2013-01-07T00:00:00"/>
    <n v="2013"/>
    <x v="0"/>
    <x v="7"/>
    <x v="1"/>
    <n v="2502"/>
    <n v="33"/>
    <s v="Met primary endpoint"/>
    <n v="1"/>
    <n v="0"/>
    <n v="10.1"/>
  </r>
  <r>
    <s v="NCT00000134"/>
    <s v="21-07-2013"/>
    <n v="2013"/>
    <x v="13"/>
    <x v="2"/>
    <x v="1"/>
    <n v="491"/>
    <n v="36"/>
    <s v="Mixed results"/>
    <n v="0"/>
    <n v="0"/>
    <n v="-4.8"/>
  </r>
  <r>
    <s v="NCT00000157"/>
    <s v="25-07-2013"/>
    <n v="2013"/>
    <x v="17"/>
    <x v="2"/>
    <x v="1"/>
    <n v="1582"/>
    <n v="40"/>
    <s v="Failed primary endpoint"/>
    <n v="0"/>
    <n v="1"/>
    <n v="-16.2"/>
  </r>
  <r>
    <s v="NCT00000140"/>
    <s v="27-07-2013"/>
    <n v="2013"/>
    <x v="2"/>
    <x v="3"/>
    <x v="0"/>
    <n v="200"/>
    <n v="21"/>
    <s v="Met primary endpoint"/>
    <n v="1"/>
    <n v="0"/>
    <n v="20.2"/>
  </r>
  <r>
    <s v="NCT00000133"/>
    <d v="2013-07-08T00:00:00"/>
    <n v="2013"/>
    <x v="5"/>
    <x v="4"/>
    <x v="0"/>
    <n v="231"/>
    <n v="21"/>
    <s v="Met primary endpoint"/>
    <n v="1"/>
    <n v="0"/>
    <n v="4.5"/>
  </r>
  <r>
    <s v="NCT00000147"/>
    <d v="2013-07-08T00:00:00"/>
    <n v="2013"/>
    <x v="12"/>
    <x v="2"/>
    <x v="1"/>
    <n v="389"/>
    <n v="41"/>
    <s v="Met primary endpoint"/>
    <n v="1"/>
    <n v="0"/>
    <n v="17.2"/>
  </r>
  <r>
    <s v="NCT00000136"/>
    <d v="2013-08-08T00:00:00"/>
    <n v="2013"/>
    <x v="18"/>
    <x v="4"/>
    <x v="0"/>
    <n v="150"/>
    <n v="8"/>
    <s v="Met primary endpoint"/>
    <n v="1"/>
    <n v="0"/>
    <n v="8.5"/>
  </r>
  <r>
    <s v="NCT00000141"/>
    <d v="2013-11-08T00:00:00"/>
    <n v="2013"/>
    <x v="0"/>
    <x v="6"/>
    <x v="0"/>
    <n v="213"/>
    <n v="7"/>
    <s v="Mixed results"/>
    <n v="0"/>
    <n v="0"/>
    <n v="-4.5999999999999996"/>
  </r>
  <r>
    <s v="NCT00000138"/>
    <d v="2013-01-09T00:00:00"/>
    <n v="2013"/>
    <x v="9"/>
    <x v="9"/>
    <x v="1"/>
    <n v="1034"/>
    <n v="31"/>
    <s v="Mixed results"/>
    <n v="0"/>
    <n v="0"/>
    <n v="-13.8"/>
  </r>
  <r>
    <s v="NCT00000139"/>
    <d v="2013-08-09T00:00:00"/>
    <n v="2013"/>
    <x v="10"/>
    <x v="2"/>
    <x v="0"/>
    <n v="224"/>
    <n v="21"/>
    <s v="Mixed results"/>
    <n v="0"/>
    <n v="0"/>
    <n v="-6.6"/>
  </r>
  <r>
    <s v="NCT00000120"/>
    <d v="2013-02-10T00:00:00"/>
    <n v="2013"/>
    <x v="17"/>
    <x v="9"/>
    <x v="1"/>
    <n v="268"/>
    <n v="34"/>
    <s v="Met primary endpoint"/>
    <n v="1"/>
    <n v="0"/>
    <n v="14.4"/>
  </r>
  <r>
    <s v="NCT00000142"/>
    <d v="2013-07-10T00:00:00"/>
    <n v="2013"/>
    <x v="16"/>
    <x v="4"/>
    <x v="0"/>
    <n v="132"/>
    <n v="21"/>
    <s v="Met primary endpoint"/>
    <n v="1"/>
    <n v="0"/>
    <n v="10.199999999999999"/>
  </r>
  <r>
    <s v="NCT00000151"/>
    <d v="2013-10-10T00:00:00"/>
    <n v="2013"/>
    <x v="2"/>
    <x v="8"/>
    <x v="0"/>
    <n v="530"/>
    <n v="23"/>
    <s v="Failed primary endpoint"/>
    <n v="0"/>
    <n v="1"/>
    <n v="2.4"/>
  </r>
  <r>
    <s v="NCT00000148"/>
    <s v="15-10-2013"/>
    <n v="2013"/>
    <x v="9"/>
    <x v="3"/>
    <x v="0"/>
    <n v="405"/>
    <n v="14"/>
    <s v="Met primary endpoint"/>
    <n v="1"/>
    <n v="0"/>
    <n v="16.899999999999999"/>
  </r>
  <r>
    <s v="NCT00000158"/>
    <s v="22-10-2013"/>
    <n v="2013"/>
    <x v="1"/>
    <x v="3"/>
    <x v="1"/>
    <n v="831"/>
    <n v="36"/>
    <s v="Met primary endpoint"/>
    <n v="1"/>
    <n v="0"/>
    <n v="9.6999999999999993"/>
  </r>
  <r>
    <s v="NCT00000146"/>
    <d v="2013-12-11T00:00:00"/>
    <n v="2013"/>
    <x v="11"/>
    <x v="2"/>
    <x v="1"/>
    <n v="771"/>
    <n v="27"/>
    <s v="Failed primary endpoint"/>
    <n v="0"/>
    <n v="1"/>
    <n v="-3.8"/>
  </r>
  <r>
    <s v="NCT00000153"/>
    <s v="26-11-2013"/>
    <n v="2013"/>
    <x v="7"/>
    <x v="7"/>
    <x v="1"/>
    <n v="544"/>
    <n v="42"/>
    <s v="Met primary endpoint"/>
    <n v="1"/>
    <n v="0"/>
    <n v="6.7"/>
  </r>
  <r>
    <s v="NCT00000159"/>
    <d v="2013-06-12T00:00:00"/>
    <n v="2013"/>
    <x v="19"/>
    <x v="2"/>
    <x v="0"/>
    <n v="261"/>
    <n v="14"/>
    <s v="Met primary endpoint"/>
    <n v="1"/>
    <n v="0"/>
    <n v="7.7"/>
  </r>
  <r>
    <s v="NCT00000155"/>
    <d v="2013-08-12T00:00:00"/>
    <n v="2013"/>
    <x v="15"/>
    <x v="7"/>
    <x v="0"/>
    <n v="179"/>
    <n v="22"/>
    <s v="Failed primary endpoint"/>
    <n v="0"/>
    <n v="1"/>
    <n v="-29.5"/>
  </r>
  <r>
    <s v="NCT00000154"/>
    <s v="20-12-2013"/>
    <n v="2013"/>
    <x v="6"/>
    <x v="9"/>
    <x v="1"/>
    <n v="548"/>
    <n v="45"/>
    <s v="Met primary endpoint"/>
    <n v="1"/>
    <n v="0"/>
    <n v="7.8"/>
  </r>
  <r>
    <s v="NCT00000174"/>
    <d v="2014-07-01T00:00:00"/>
    <n v="2014"/>
    <x v="3"/>
    <x v="2"/>
    <x v="0"/>
    <n v="218"/>
    <n v="13"/>
    <s v="Mixed results"/>
    <n v="0"/>
    <n v="0"/>
    <n v="-8.4"/>
  </r>
  <r>
    <s v="NCT00000176"/>
    <s v="15-01-2014"/>
    <n v="2014"/>
    <x v="19"/>
    <x v="1"/>
    <x v="1"/>
    <n v="783"/>
    <n v="38"/>
    <s v="Mixed results"/>
    <n v="0"/>
    <n v="0"/>
    <n v="-11.1"/>
  </r>
  <r>
    <s v="NCT00000189"/>
    <s v="26-01-2014"/>
    <n v="2014"/>
    <x v="14"/>
    <x v="7"/>
    <x v="1"/>
    <n v="504"/>
    <n v="36"/>
    <s v="Met primary endpoint"/>
    <n v="1"/>
    <n v="0"/>
    <n v="13.5"/>
  </r>
  <r>
    <s v="NCT00000185"/>
    <s v="23-02-2014"/>
    <n v="2014"/>
    <x v="11"/>
    <x v="3"/>
    <x v="0"/>
    <n v="224"/>
    <n v="9"/>
    <s v="Met primary endpoint"/>
    <n v="1"/>
    <n v="0"/>
    <n v="6.3"/>
  </r>
  <r>
    <s v="NCT00000167"/>
    <d v="2014-05-03T00:00:00"/>
    <n v="2014"/>
    <x v="10"/>
    <x v="4"/>
    <x v="1"/>
    <n v="1729"/>
    <n v="30"/>
    <s v="Met primary endpoint"/>
    <n v="1"/>
    <n v="0"/>
    <n v="1.9"/>
  </r>
  <r>
    <s v="NCT00000190"/>
    <d v="2014-06-03T00:00:00"/>
    <n v="2014"/>
    <x v="12"/>
    <x v="2"/>
    <x v="0"/>
    <n v="351"/>
    <n v="19"/>
    <s v="Met primary endpoint"/>
    <n v="1"/>
    <n v="0"/>
    <n v="10.9"/>
  </r>
  <r>
    <s v="NCT00000184"/>
    <s v="18-03-2014"/>
    <n v="2014"/>
    <x v="17"/>
    <x v="4"/>
    <x v="0"/>
    <n v="170"/>
    <n v="16"/>
    <s v="Failed primary endpoint"/>
    <n v="0"/>
    <n v="1"/>
    <n v="-23.9"/>
  </r>
  <r>
    <s v="NCT00000171"/>
    <s v="22-03-2014"/>
    <n v="2014"/>
    <x v="16"/>
    <x v="6"/>
    <x v="0"/>
    <n v="161"/>
    <n v="22"/>
    <s v="Failed primary endpoint"/>
    <n v="0"/>
    <n v="1"/>
    <n v="-10.3"/>
  </r>
  <r>
    <s v="NCT00000162"/>
    <d v="2014-01-04T00:00:00"/>
    <n v="2014"/>
    <x v="13"/>
    <x v="0"/>
    <x v="0"/>
    <n v="164"/>
    <n v="22"/>
    <s v="Met primary endpoint"/>
    <n v="1"/>
    <n v="0"/>
    <n v="16.899999999999999"/>
  </r>
  <r>
    <s v="NCT00000186"/>
    <d v="2014-05-04T00:00:00"/>
    <n v="2014"/>
    <x v="11"/>
    <x v="7"/>
    <x v="1"/>
    <n v="1469"/>
    <n v="31"/>
    <s v="Mixed results"/>
    <n v="0"/>
    <n v="0"/>
    <n v="2.9"/>
  </r>
  <r>
    <s v="NCT00000160"/>
    <s v="15-04-2014"/>
    <n v="2014"/>
    <x v="20"/>
    <x v="1"/>
    <x v="1"/>
    <n v="334"/>
    <n v="20"/>
    <s v="Met primary endpoint"/>
    <n v="1"/>
    <n v="0"/>
    <n v="13.9"/>
  </r>
  <r>
    <s v="NCT00000187"/>
    <s v="17-04-2014"/>
    <n v="2014"/>
    <x v="8"/>
    <x v="9"/>
    <x v="1"/>
    <n v="1124"/>
    <n v="44"/>
    <s v="Failed primary endpoint"/>
    <n v="0"/>
    <n v="1"/>
    <n v="-7.3"/>
  </r>
  <r>
    <s v="NCT00000166"/>
    <s v="24-04-2014"/>
    <n v="2014"/>
    <x v="1"/>
    <x v="8"/>
    <x v="1"/>
    <n v="461"/>
    <n v="42"/>
    <s v="Met primary endpoint"/>
    <n v="1"/>
    <n v="0"/>
    <n v="11.3"/>
  </r>
  <r>
    <s v="NCT00000175"/>
    <s v="26-04-2014"/>
    <n v="2014"/>
    <x v="14"/>
    <x v="7"/>
    <x v="0"/>
    <n v="502"/>
    <n v="15"/>
    <s v="Met primary endpoint"/>
    <n v="1"/>
    <n v="0"/>
    <n v="8.9"/>
  </r>
  <r>
    <s v="NCT00000181"/>
    <d v="2014-03-05T00:00:00"/>
    <n v="2014"/>
    <x v="18"/>
    <x v="6"/>
    <x v="1"/>
    <n v="424"/>
    <n v="45"/>
    <s v="Failed primary endpoint"/>
    <n v="0"/>
    <n v="1"/>
    <n v="4.7"/>
  </r>
  <r>
    <s v="NCT00000180"/>
    <d v="2014-03-05T00:00:00"/>
    <n v="2014"/>
    <x v="12"/>
    <x v="9"/>
    <x v="1"/>
    <n v="543"/>
    <n v="34"/>
    <s v="Failed primary endpoint"/>
    <n v="0"/>
    <n v="1"/>
    <n v="-0.7"/>
  </r>
  <r>
    <s v="NCT00000170"/>
    <d v="2014-12-05T00:00:00"/>
    <n v="2014"/>
    <x v="3"/>
    <x v="3"/>
    <x v="1"/>
    <n v="532"/>
    <n v="29"/>
    <s v="Met primary endpoint"/>
    <n v="1"/>
    <n v="0"/>
    <n v="6.1"/>
  </r>
  <r>
    <s v="NCT00000177"/>
    <s v="18-05-2014"/>
    <n v="2014"/>
    <x v="1"/>
    <x v="5"/>
    <x v="1"/>
    <n v="1737"/>
    <n v="46"/>
    <s v="Met primary endpoint"/>
    <n v="1"/>
    <n v="0"/>
    <n v="14.9"/>
  </r>
  <r>
    <s v="NCT00000182"/>
    <d v="2014-06-06T00:00:00"/>
    <n v="2014"/>
    <x v="17"/>
    <x v="2"/>
    <x v="1"/>
    <n v="1709"/>
    <n v="32"/>
    <s v="Failed primary endpoint"/>
    <n v="0"/>
    <n v="1"/>
    <n v="-26.1"/>
  </r>
  <r>
    <s v="NCT00000183"/>
    <d v="2014-10-06T00:00:00"/>
    <n v="2014"/>
    <x v="18"/>
    <x v="2"/>
    <x v="1"/>
    <n v="1665"/>
    <n v="42"/>
    <s v="Met primary endpoint"/>
    <n v="1"/>
    <n v="0"/>
    <n v="8.1999999999999993"/>
  </r>
  <r>
    <s v="NCT00000191"/>
    <d v="2014-07-07T00:00:00"/>
    <n v="2014"/>
    <x v="15"/>
    <x v="2"/>
    <x v="1"/>
    <n v="1883"/>
    <n v="25"/>
    <s v="Mixed results"/>
    <n v="0"/>
    <n v="0"/>
    <n v="4.9000000000000004"/>
  </r>
  <r>
    <s v="NCT00000179"/>
    <s v="16-08-2014"/>
    <n v="2014"/>
    <x v="8"/>
    <x v="2"/>
    <x v="1"/>
    <n v="2629"/>
    <n v="37"/>
    <s v="Met primary endpoint"/>
    <n v="1"/>
    <n v="0"/>
    <n v="10.3"/>
  </r>
  <r>
    <s v="NCT00000165"/>
    <s v="17-08-2014"/>
    <n v="2014"/>
    <x v="16"/>
    <x v="2"/>
    <x v="0"/>
    <n v="128"/>
    <n v="27"/>
    <s v="Met primary endpoint"/>
    <n v="1"/>
    <n v="0"/>
    <n v="7.9"/>
  </r>
  <r>
    <s v="NCT00000161"/>
    <d v="2014-03-09T00:00:00"/>
    <n v="2014"/>
    <x v="20"/>
    <x v="7"/>
    <x v="1"/>
    <n v="553"/>
    <n v="38"/>
    <s v="Failed primary endpoint"/>
    <n v="0"/>
    <n v="1"/>
    <n v="-5.8"/>
  </r>
  <r>
    <s v="NCT00000173"/>
    <s v="20-09-2014"/>
    <n v="2014"/>
    <x v="19"/>
    <x v="9"/>
    <x v="1"/>
    <n v="501"/>
    <n v="44"/>
    <s v="Failed primary endpoint"/>
    <n v="0"/>
    <n v="1"/>
    <n v="-18.3"/>
  </r>
  <r>
    <s v="NCT00000172"/>
    <d v="2014-06-11T00:00:00"/>
    <n v="2014"/>
    <x v="12"/>
    <x v="7"/>
    <x v="1"/>
    <n v="1654"/>
    <n v="48"/>
    <s v="Met primary endpoint"/>
    <n v="1"/>
    <n v="0"/>
    <n v="5"/>
  </r>
  <r>
    <s v="NCT00000188"/>
    <s v="17-11-2014"/>
    <n v="2014"/>
    <x v="1"/>
    <x v="4"/>
    <x v="1"/>
    <n v="1149"/>
    <n v="33"/>
    <s v="Met primary endpoint"/>
    <n v="1"/>
    <n v="0"/>
    <n v="16.399999999999999"/>
  </r>
  <r>
    <s v="NCT00000178"/>
    <s v="23-11-2014"/>
    <n v="2014"/>
    <x v="11"/>
    <x v="2"/>
    <x v="1"/>
    <n v="1592"/>
    <n v="31"/>
    <s v="Met primary endpoint"/>
    <n v="1"/>
    <n v="0"/>
    <n v="6.3"/>
  </r>
  <r>
    <s v="NCT00000169"/>
    <s v="24-11-2014"/>
    <n v="2014"/>
    <x v="1"/>
    <x v="2"/>
    <x v="0"/>
    <n v="144"/>
    <n v="15"/>
    <s v="Met primary endpoint"/>
    <n v="1"/>
    <n v="0"/>
    <n v="13"/>
  </r>
  <r>
    <s v="NCT00000168"/>
    <d v="2014-12-12T00:00:00"/>
    <n v="2014"/>
    <x v="15"/>
    <x v="2"/>
    <x v="0"/>
    <n v="202"/>
    <n v="16"/>
    <s v="Met primary endpoint"/>
    <n v="1"/>
    <n v="0"/>
    <n v="12"/>
  </r>
  <r>
    <s v="NCT00000163"/>
    <s v="14-12-2014"/>
    <n v="2014"/>
    <x v="10"/>
    <x v="2"/>
    <x v="0"/>
    <n v="52"/>
    <n v="25"/>
    <s v="Mixed results"/>
    <n v="0"/>
    <n v="0"/>
    <n v="-13.6"/>
  </r>
  <r>
    <s v="NCT00000164"/>
    <s v="14-12-2014"/>
    <n v="2014"/>
    <x v="2"/>
    <x v="2"/>
    <x v="1"/>
    <n v="852"/>
    <n v="36"/>
    <s v="Met primary endpoint"/>
    <n v="1"/>
    <n v="0"/>
    <n v="1.5"/>
  </r>
  <r>
    <s v="NCT00000201"/>
    <d v="2015-04-01T00:00:00"/>
    <n v="2015"/>
    <x v="20"/>
    <x v="0"/>
    <x v="1"/>
    <n v="794"/>
    <n v="36"/>
    <s v="Failed primary endpoint"/>
    <n v="0"/>
    <n v="1"/>
    <n v="-22.7"/>
  </r>
  <r>
    <s v="NCT00000219"/>
    <d v="2015-12-01T00:00:00"/>
    <n v="2015"/>
    <x v="13"/>
    <x v="9"/>
    <x v="1"/>
    <n v="1530"/>
    <n v="38"/>
    <s v="Failed primary endpoint"/>
    <n v="0"/>
    <n v="1"/>
    <n v="-19.2"/>
  </r>
  <r>
    <s v="NCT00000224"/>
    <s v="13-01-2015"/>
    <n v="2015"/>
    <x v="17"/>
    <x v="2"/>
    <x v="0"/>
    <n v="265"/>
    <n v="14"/>
    <s v="Mixed results"/>
    <n v="0"/>
    <n v="0"/>
    <n v="-2.7"/>
  </r>
  <r>
    <s v="NCT00000226"/>
    <s v="25-01-2015"/>
    <n v="2015"/>
    <x v="18"/>
    <x v="1"/>
    <x v="0"/>
    <n v="242"/>
    <n v="10"/>
    <s v="Met primary endpoint"/>
    <n v="1"/>
    <n v="0"/>
    <n v="5.6"/>
  </r>
  <r>
    <s v="NCT00000213"/>
    <d v="2015-04-02T00:00:00"/>
    <n v="2015"/>
    <x v="16"/>
    <x v="3"/>
    <x v="1"/>
    <n v="648"/>
    <n v="39"/>
    <s v="Failed primary endpoint"/>
    <n v="0"/>
    <n v="1"/>
    <n v="-15.9"/>
  </r>
  <r>
    <s v="NCT00000217"/>
    <d v="2015-05-02T00:00:00"/>
    <n v="2015"/>
    <x v="18"/>
    <x v="2"/>
    <x v="1"/>
    <n v="811"/>
    <n v="30"/>
    <s v="Met primary endpoint"/>
    <n v="1"/>
    <n v="0"/>
    <n v="12.5"/>
  </r>
  <r>
    <s v="NCT00000208"/>
    <s v="14-02-2015"/>
    <n v="2015"/>
    <x v="2"/>
    <x v="4"/>
    <x v="1"/>
    <n v="841"/>
    <n v="37"/>
    <s v="Met primary endpoint"/>
    <n v="1"/>
    <n v="0"/>
    <n v="9.6999999999999993"/>
  </r>
  <r>
    <s v="NCT00000209"/>
    <s v="20-02-2015"/>
    <n v="2015"/>
    <x v="20"/>
    <x v="9"/>
    <x v="0"/>
    <n v="183"/>
    <n v="14"/>
    <s v="Met primary endpoint"/>
    <n v="1"/>
    <n v="0"/>
    <n v="3.5"/>
  </r>
  <r>
    <s v="NCT00000199"/>
    <s v="26-02-2015"/>
    <n v="2015"/>
    <x v="8"/>
    <x v="7"/>
    <x v="0"/>
    <n v="115"/>
    <n v="17"/>
    <s v="Met primary endpoint"/>
    <n v="1"/>
    <n v="0"/>
    <n v="8.9"/>
  </r>
  <r>
    <s v="NCT00000202"/>
    <d v="2015-11-03T00:00:00"/>
    <n v="2015"/>
    <x v="8"/>
    <x v="4"/>
    <x v="0"/>
    <n v="185"/>
    <n v="37"/>
    <s v="Met primary endpoint"/>
    <n v="1"/>
    <n v="0"/>
    <n v="4.0999999999999996"/>
  </r>
  <r>
    <s v="NCT00000222"/>
    <s v="16-03-2015"/>
    <n v="2015"/>
    <x v="19"/>
    <x v="2"/>
    <x v="1"/>
    <n v="1519"/>
    <n v="33"/>
    <s v="Met primary endpoint"/>
    <n v="1"/>
    <n v="0"/>
    <n v="0.2"/>
  </r>
  <r>
    <s v="NCT00000203"/>
    <d v="2015-01-05T00:00:00"/>
    <n v="2015"/>
    <x v="0"/>
    <x v="0"/>
    <x v="0"/>
    <n v="220"/>
    <n v="15"/>
    <s v="Met primary endpoint"/>
    <n v="1"/>
    <n v="0"/>
    <n v="12.5"/>
  </r>
  <r>
    <s v="NCT00000214"/>
    <d v="2015-07-05T00:00:00"/>
    <n v="2015"/>
    <x v="16"/>
    <x v="4"/>
    <x v="1"/>
    <n v="1515"/>
    <n v="30"/>
    <s v="Met primary endpoint"/>
    <n v="1"/>
    <n v="0"/>
    <n v="1.7"/>
  </r>
  <r>
    <s v="NCT00000216"/>
    <d v="2015-06-06T00:00:00"/>
    <n v="2015"/>
    <x v="16"/>
    <x v="9"/>
    <x v="1"/>
    <n v="1411"/>
    <n v="21"/>
    <s v="Met primary endpoint"/>
    <n v="1"/>
    <n v="0"/>
    <n v="3.3"/>
  </r>
  <r>
    <s v="NCT00000205"/>
    <d v="2015-12-06T00:00:00"/>
    <n v="2015"/>
    <x v="17"/>
    <x v="7"/>
    <x v="0"/>
    <n v="130"/>
    <n v="17"/>
    <s v="Failed primary endpoint"/>
    <n v="0"/>
    <n v="1"/>
    <n v="-13.6"/>
  </r>
  <r>
    <s v="NCT00000221"/>
    <s v="20-06-2015"/>
    <n v="2015"/>
    <x v="0"/>
    <x v="0"/>
    <x v="1"/>
    <n v="942"/>
    <n v="31"/>
    <s v="Failed primary endpoint"/>
    <n v="0"/>
    <n v="1"/>
    <n v="6.6"/>
  </r>
  <r>
    <s v="NCT00000198"/>
    <s v="20-06-2015"/>
    <n v="2015"/>
    <x v="18"/>
    <x v="3"/>
    <x v="0"/>
    <n v="290"/>
    <n v="21"/>
    <s v="Met primary endpoint"/>
    <n v="1"/>
    <n v="0"/>
    <n v="10.1"/>
  </r>
  <r>
    <s v="NCT00000212"/>
    <d v="2015-04-07T00:00:00"/>
    <n v="2015"/>
    <x v="3"/>
    <x v="1"/>
    <x v="1"/>
    <n v="1219"/>
    <n v="33"/>
    <s v="Met primary endpoint"/>
    <n v="1"/>
    <n v="0"/>
    <n v="2.4"/>
  </r>
  <r>
    <s v="NCT00000215"/>
    <s v="15-07-2015"/>
    <n v="2015"/>
    <x v="16"/>
    <x v="1"/>
    <x v="1"/>
    <n v="1378"/>
    <n v="43"/>
    <s v="Met primary endpoint"/>
    <n v="1"/>
    <n v="0"/>
    <n v="4.5999999999999996"/>
  </r>
  <r>
    <s v="NCT00000227"/>
    <s v="16-07-2015"/>
    <n v="2015"/>
    <x v="12"/>
    <x v="0"/>
    <x v="1"/>
    <n v="2639"/>
    <n v="40"/>
    <s v="Failed primary endpoint"/>
    <n v="0"/>
    <n v="1"/>
    <n v="-26.3"/>
  </r>
  <r>
    <s v="NCT00000200"/>
    <s v="18-07-2015"/>
    <n v="2015"/>
    <x v="1"/>
    <x v="6"/>
    <x v="1"/>
    <n v="408"/>
    <n v="38"/>
    <s v="Failed primary endpoint"/>
    <n v="0"/>
    <n v="1"/>
    <n v="-13.3"/>
  </r>
  <r>
    <s v="NCT00000218"/>
    <s v="18-07-2015"/>
    <n v="2015"/>
    <x v="20"/>
    <x v="3"/>
    <x v="0"/>
    <n v="170"/>
    <n v="26"/>
    <s v="Met primary endpoint"/>
    <n v="1"/>
    <n v="0"/>
    <n v="16.399999999999999"/>
  </r>
  <r>
    <s v="NCT00000211"/>
    <s v="26-07-2015"/>
    <n v="2015"/>
    <x v="0"/>
    <x v="0"/>
    <x v="0"/>
    <n v="188"/>
    <n v="13"/>
    <s v="Met primary endpoint"/>
    <n v="1"/>
    <n v="0"/>
    <n v="8.4"/>
  </r>
  <r>
    <s v="NCT00000197"/>
    <d v="2015-10-08T00:00:00"/>
    <n v="2015"/>
    <x v="1"/>
    <x v="2"/>
    <x v="1"/>
    <n v="1377"/>
    <n v="43"/>
    <s v="Failed primary endpoint"/>
    <n v="0"/>
    <n v="1"/>
    <n v="-16.7"/>
  </r>
  <r>
    <s v="NCT00000193"/>
    <s v="13-08-2015"/>
    <n v="2015"/>
    <x v="6"/>
    <x v="9"/>
    <x v="1"/>
    <n v="1402"/>
    <n v="37"/>
    <s v="Failed primary endpoint"/>
    <n v="0"/>
    <n v="1"/>
    <n v="-15.9"/>
  </r>
  <r>
    <s v="NCT00000206"/>
    <s v="25-09-2015"/>
    <n v="2015"/>
    <x v="14"/>
    <x v="7"/>
    <x v="0"/>
    <n v="266"/>
    <n v="9"/>
    <s v="Met primary endpoint"/>
    <n v="1"/>
    <n v="0"/>
    <n v="11.3"/>
  </r>
  <r>
    <s v="NCT00000196"/>
    <s v="16-10-2015"/>
    <n v="2015"/>
    <x v="15"/>
    <x v="2"/>
    <x v="0"/>
    <n v="370"/>
    <n v="14"/>
    <s v="Failed primary endpoint"/>
    <n v="0"/>
    <n v="1"/>
    <n v="-31.8"/>
  </r>
  <r>
    <s v="NCT00000192"/>
    <s v="17-10-2015"/>
    <n v="2015"/>
    <x v="4"/>
    <x v="1"/>
    <x v="0"/>
    <n v="334"/>
    <n v="16"/>
    <s v="Met primary endpoint"/>
    <n v="1"/>
    <n v="0"/>
    <n v="4.5999999999999996"/>
  </r>
  <r>
    <s v="NCT00000220"/>
    <s v="18-10-2015"/>
    <n v="2015"/>
    <x v="17"/>
    <x v="4"/>
    <x v="1"/>
    <n v="1540"/>
    <n v="40"/>
    <s v="Met primary endpoint"/>
    <n v="1"/>
    <n v="0"/>
    <n v="10.4"/>
  </r>
  <r>
    <s v="NCT00000204"/>
    <s v="20-10-2015"/>
    <n v="2015"/>
    <x v="10"/>
    <x v="4"/>
    <x v="1"/>
    <n v="2265"/>
    <n v="36"/>
    <s v="Met primary endpoint"/>
    <n v="1"/>
    <n v="0"/>
    <n v="11.1"/>
  </r>
  <r>
    <s v="NCT00000225"/>
    <d v="2015-02-11T00:00:00"/>
    <n v="2015"/>
    <x v="3"/>
    <x v="2"/>
    <x v="0"/>
    <n v="98"/>
    <n v="13"/>
    <s v="Met primary endpoint"/>
    <n v="1"/>
    <n v="0"/>
    <n v="9.6"/>
  </r>
  <r>
    <s v="NCT00000195"/>
    <d v="2015-11-11T00:00:00"/>
    <n v="2015"/>
    <x v="13"/>
    <x v="3"/>
    <x v="0"/>
    <n v="377"/>
    <n v="17"/>
    <s v="Mixed results"/>
    <n v="0"/>
    <n v="0"/>
    <n v="0.5"/>
  </r>
  <r>
    <s v="NCT00000207"/>
    <s v="20-11-2015"/>
    <n v="2015"/>
    <x v="7"/>
    <x v="2"/>
    <x v="0"/>
    <n v="529"/>
    <n v="26"/>
    <s v="Met primary endpoint"/>
    <n v="1"/>
    <n v="0"/>
    <n v="5.6"/>
  </r>
  <r>
    <s v="NCT00000210"/>
    <s v="25-11-2015"/>
    <n v="2015"/>
    <x v="20"/>
    <x v="2"/>
    <x v="1"/>
    <n v="979"/>
    <n v="29"/>
    <s v="Failed primary endpoint"/>
    <n v="0"/>
    <n v="1"/>
    <n v="-20.7"/>
  </r>
  <r>
    <s v="NCT00000223"/>
    <d v="2015-08-12T00:00:00"/>
    <n v="2015"/>
    <x v="19"/>
    <x v="2"/>
    <x v="1"/>
    <n v="976"/>
    <n v="38"/>
    <s v="Mixed results"/>
    <n v="0"/>
    <n v="0"/>
    <n v="-6.4"/>
  </r>
  <r>
    <s v="NCT00000194"/>
    <s v="17-12-2015"/>
    <n v="2015"/>
    <x v="15"/>
    <x v="0"/>
    <x v="1"/>
    <n v="897"/>
    <n v="30"/>
    <s v="Failed primary endpoint"/>
    <n v="0"/>
    <n v="1"/>
    <n v="-9.1"/>
  </r>
  <r>
    <s v="NCT00000252"/>
    <d v="2016-01-01T00:00:00"/>
    <n v="2016"/>
    <x v="0"/>
    <x v="0"/>
    <x v="0"/>
    <n v="168"/>
    <n v="13"/>
    <s v="Met primary endpoint"/>
    <n v="1"/>
    <n v="0"/>
    <n v="4"/>
  </r>
  <r>
    <s v="NCT00000229"/>
    <s v="13-01-2016"/>
    <n v="2016"/>
    <x v="6"/>
    <x v="4"/>
    <x v="0"/>
    <n v="146"/>
    <n v="15"/>
    <s v="Met primary endpoint"/>
    <n v="1"/>
    <n v="0"/>
    <n v="16.5"/>
  </r>
  <r>
    <s v="NCT00000250"/>
    <s v="15-01-2016"/>
    <n v="2016"/>
    <x v="16"/>
    <x v="2"/>
    <x v="1"/>
    <n v="571"/>
    <n v="45"/>
    <s v="Failed primary endpoint"/>
    <n v="0"/>
    <n v="1"/>
    <n v="-33.5"/>
  </r>
  <r>
    <s v="NCT00000228"/>
    <s v="16-01-2016"/>
    <n v="2016"/>
    <x v="15"/>
    <x v="7"/>
    <x v="1"/>
    <n v="1139"/>
    <n v="50"/>
    <s v="Failed primary endpoint"/>
    <n v="0"/>
    <n v="1"/>
    <n v="-3.5"/>
  </r>
  <r>
    <s v="NCT00000237"/>
    <s v="18-01-2016"/>
    <n v="2016"/>
    <x v="1"/>
    <x v="2"/>
    <x v="0"/>
    <n v="325"/>
    <n v="23"/>
    <s v="Met primary endpoint"/>
    <n v="1"/>
    <n v="0"/>
    <n v="-4.2"/>
  </r>
  <r>
    <s v="NCT00000253"/>
    <d v="2016-06-03T00:00:00"/>
    <n v="2016"/>
    <x v="8"/>
    <x v="7"/>
    <x v="0"/>
    <n v="228"/>
    <n v="22"/>
    <s v="Met primary endpoint"/>
    <n v="1"/>
    <n v="0"/>
    <n v="12.8"/>
  </r>
  <r>
    <s v="NCT00000232"/>
    <d v="2016-08-03T00:00:00"/>
    <n v="2016"/>
    <x v="16"/>
    <x v="5"/>
    <x v="0"/>
    <n v="184"/>
    <n v="15"/>
    <s v="Failed primary endpoint"/>
    <n v="0"/>
    <n v="1"/>
    <n v="-8.3000000000000007"/>
  </r>
  <r>
    <s v="NCT00000235"/>
    <d v="2016-04-04T00:00:00"/>
    <n v="2016"/>
    <x v="8"/>
    <x v="0"/>
    <x v="0"/>
    <n v="254"/>
    <n v="15"/>
    <s v="Failed primary endpoint"/>
    <n v="0"/>
    <n v="1"/>
    <n v="-22.9"/>
  </r>
  <r>
    <s v="NCT00000230"/>
    <d v="2016-06-04T00:00:00"/>
    <n v="2016"/>
    <x v="6"/>
    <x v="2"/>
    <x v="1"/>
    <n v="359"/>
    <n v="43"/>
    <s v="Mixed results"/>
    <n v="0"/>
    <n v="0"/>
    <n v="-0.8"/>
  </r>
  <r>
    <s v="NCT00000242"/>
    <d v="2016-11-04T00:00:00"/>
    <n v="2016"/>
    <x v="7"/>
    <x v="1"/>
    <x v="0"/>
    <n v="149"/>
    <n v="6"/>
    <s v="Met primary endpoint"/>
    <n v="1"/>
    <n v="0"/>
    <n v="11.8"/>
  </r>
  <r>
    <s v="NCT00000255"/>
    <d v="2016-08-05T00:00:00"/>
    <n v="2016"/>
    <x v="16"/>
    <x v="2"/>
    <x v="0"/>
    <n v="208"/>
    <n v="14"/>
    <s v="Mixed results"/>
    <n v="0"/>
    <n v="0"/>
    <n v="3.9"/>
  </r>
  <r>
    <s v="NCT00000238"/>
    <s v="15-05-2016"/>
    <n v="2016"/>
    <x v="19"/>
    <x v="4"/>
    <x v="0"/>
    <n v="994"/>
    <n v="16"/>
    <s v="Met primary endpoint"/>
    <n v="1"/>
    <n v="0"/>
    <n v="3.4"/>
  </r>
  <r>
    <s v="NCT00000240"/>
    <s v="17-05-2016"/>
    <n v="2016"/>
    <x v="1"/>
    <x v="6"/>
    <x v="1"/>
    <n v="513"/>
    <n v="37"/>
    <s v="Mixed results"/>
    <n v="0"/>
    <n v="0"/>
    <n v="-4.2"/>
  </r>
  <r>
    <s v="NCT00000244"/>
    <s v="23-05-2016"/>
    <n v="2016"/>
    <x v="13"/>
    <x v="0"/>
    <x v="1"/>
    <n v="1101"/>
    <n v="21"/>
    <s v="Failed primary endpoint"/>
    <n v="0"/>
    <n v="1"/>
    <n v="-3.7"/>
  </r>
  <r>
    <s v="NCT00000257"/>
    <s v="25-05-2016"/>
    <n v="2016"/>
    <x v="19"/>
    <x v="2"/>
    <x v="1"/>
    <n v="2851"/>
    <n v="37"/>
    <s v="Mixed results"/>
    <n v="0"/>
    <n v="0"/>
    <n v="-8.6"/>
  </r>
  <r>
    <s v="NCT00000236"/>
    <s v="27-05-2016"/>
    <n v="2016"/>
    <x v="19"/>
    <x v="7"/>
    <x v="1"/>
    <n v="522"/>
    <n v="35"/>
    <s v="Met primary endpoint"/>
    <n v="1"/>
    <n v="0"/>
    <n v="7.5"/>
  </r>
  <r>
    <s v="NCT00000247"/>
    <s v="27-05-2016"/>
    <n v="2016"/>
    <x v="1"/>
    <x v="2"/>
    <x v="1"/>
    <n v="1374"/>
    <n v="32"/>
    <s v="Failed primary endpoint"/>
    <n v="0"/>
    <n v="1"/>
    <n v="-13.1"/>
  </r>
  <r>
    <s v="NCT00000256"/>
    <d v="2016-06-06T00:00:00"/>
    <n v="2016"/>
    <x v="4"/>
    <x v="9"/>
    <x v="0"/>
    <n v="127"/>
    <n v="16"/>
    <s v="Failed primary endpoint"/>
    <n v="0"/>
    <n v="1"/>
    <n v="-11.7"/>
  </r>
  <r>
    <s v="NCT00000241"/>
    <d v="2016-04-07T00:00:00"/>
    <n v="2016"/>
    <x v="9"/>
    <x v="4"/>
    <x v="1"/>
    <n v="1473"/>
    <n v="34"/>
    <s v="Failed primary endpoint"/>
    <n v="0"/>
    <n v="1"/>
    <n v="-29.5"/>
  </r>
  <r>
    <s v="NCT00000258"/>
    <d v="2016-11-07T00:00:00"/>
    <n v="2016"/>
    <x v="2"/>
    <x v="3"/>
    <x v="0"/>
    <n v="342"/>
    <n v="22"/>
    <s v="Met primary endpoint"/>
    <n v="1"/>
    <n v="0"/>
    <n v="8.6999999999999993"/>
  </r>
  <r>
    <s v="NCT00000233"/>
    <d v="2016-08-08T00:00:00"/>
    <n v="2016"/>
    <x v="9"/>
    <x v="2"/>
    <x v="0"/>
    <n v="308"/>
    <n v="26"/>
    <s v="Failed primary endpoint"/>
    <n v="0"/>
    <n v="1"/>
    <n v="-19.399999999999999"/>
  </r>
  <r>
    <s v="NCT00000234"/>
    <s v="19-08-2016"/>
    <n v="2016"/>
    <x v="4"/>
    <x v="8"/>
    <x v="0"/>
    <n v="170"/>
    <n v="11"/>
    <s v="Failed primary endpoint"/>
    <n v="0"/>
    <n v="1"/>
    <n v="-17"/>
  </r>
  <r>
    <s v="NCT00000243"/>
    <s v="13-09-2016"/>
    <n v="2016"/>
    <x v="8"/>
    <x v="2"/>
    <x v="0"/>
    <n v="197"/>
    <n v="21"/>
    <s v="Met primary endpoint"/>
    <n v="1"/>
    <n v="0"/>
    <n v="3.7"/>
  </r>
  <r>
    <s v="NCT00000246"/>
    <s v="19-09-2016"/>
    <n v="2016"/>
    <x v="17"/>
    <x v="2"/>
    <x v="0"/>
    <n v="259"/>
    <n v="20"/>
    <s v="Met primary endpoint"/>
    <n v="1"/>
    <n v="0"/>
    <n v="4"/>
  </r>
  <r>
    <s v="NCT00000231"/>
    <d v="2016-06-10T00:00:00"/>
    <n v="2016"/>
    <x v="10"/>
    <x v="2"/>
    <x v="0"/>
    <n v="84"/>
    <n v="18"/>
    <s v="Failed primary endpoint"/>
    <n v="0"/>
    <n v="1"/>
    <n v="-16"/>
  </r>
  <r>
    <s v="NCT00000248"/>
    <d v="2016-12-10T00:00:00"/>
    <n v="2016"/>
    <x v="6"/>
    <x v="6"/>
    <x v="1"/>
    <n v="777"/>
    <n v="41"/>
    <s v="Met primary endpoint"/>
    <n v="1"/>
    <n v="0"/>
    <n v="-3.9"/>
  </r>
  <r>
    <s v="NCT00000254"/>
    <s v="14-10-2016"/>
    <n v="2016"/>
    <x v="19"/>
    <x v="2"/>
    <x v="1"/>
    <n v="1458"/>
    <n v="32"/>
    <s v="Failed primary endpoint"/>
    <n v="0"/>
    <n v="1"/>
    <n v="-10.7"/>
  </r>
  <r>
    <s v="NCT00000251"/>
    <s v="15-11-2016"/>
    <n v="2016"/>
    <x v="5"/>
    <x v="2"/>
    <x v="1"/>
    <n v="297"/>
    <n v="32"/>
    <s v="Failed primary endpoint"/>
    <n v="0"/>
    <n v="1"/>
    <n v="-5.6"/>
  </r>
  <r>
    <s v="NCT00000245"/>
    <s v="22-11-2016"/>
    <n v="2016"/>
    <x v="13"/>
    <x v="7"/>
    <x v="0"/>
    <n v="510"/>
    <n v="14"/>
    <s v="Met primary endpoint"/>
    <n v="1"/>
    <n v="0"/>
    <n v="9.6999999999999993"/>
  </r>
  <r>
    <s v="NCT00000249"/>
    <d v="2016-12-12T00:00:00"/>
    <n v="2016"/>
    <x v="14"/>
    <x v="0"/>
    <x v="1"/>
    <n v="1449"/>
    <n v="41"/>
    <s v="Met primary endpoint"/>
    <n v="1"/>
    <n v="0"/>
    <n v="9.6999999999999993"/>
  </r>
  <r>
    <s v="NCT00000239"/>
    <s v="25-12-2016"/>
    <n v="2016"/>
    <x v="5"/>
    <x v="1"/>
    <x v="1"/>
    <n v="634"/>
    <n v="33"/>
    <s v="Failed primary endpoint"/>
    <n v="0"/>
    <n v="1"/>
    <n v="-6.9"/>
  </r>
  <r>
    <s v="NCT00000298"/>
    <s v="14-01-2017"/>
    <n v="2017"/>
    <x v="4"/>
    <x v="2"/>
    <x v="1"/>
    <n v="1563"/>
    <n v="39"/>
    <s v="Mixed results"/>
    <n v="0"/>
    <n v="0"/>
    <n v="-9"/>
  </r>
  <r>
    <s v="NCT00000264"/>
    <s v="21-01-2017"/>
    <n v="2017"/>
    <x v="13"/>
    <x v="2"/>
    <x v="1"/>
    <n v="865"/>
    <n v="41"/>
    <s v="Mixed results"/>
    <n v="0"/>
    <n v="0"/>
    <n v="-7.3"/>
  </r>
  <r>
    <s v="NCT00000277"/>
    <d v="2017-02-02T00:00:00"/>
    <n v="2017"/>
    <x v="0"/>
    <x v="5"/>
    <x v="0"/>
    <n v="354"/>
    <n v="22"/>
    <s v="Met primary endpoint"/>
    <n v="1"/>
    <n v="0"/>
    <n v="2.2999999999999998"/>
  </r>
  <r>
    <s v="NCT00000286"/>
    <d v="2017-07-02T00:00:00"/>
    <n v="2017"/>
    <x v="20"/>
    <x v="8"/>
    <x v="0"/>
    <n v="92"/>
    <n v="18"/>
    <s v="Failed primary endpoint"/>
    <n v="0"/>
    <n v="1"/>
    <n v="-20.399999999999999"/>
  </r>
  <r>
    <s v="NCT00000259"/>
    <s v="18-02-2017"/>
    <n v="2017"/>
    <x v="13"/>
    <x v="1"/>
    <x v="1"/>
    <n v="1405"/>
    <n v="32"/>
    <s v="Met primary endpoint"/>
    <n v="1"/>
    <n v="0"/>
    <n v="10"/>
  </r>
  <r>
    <s v="NCT00000266"/>
    <s v="20-02-2017"/>
    <n v="2017"/>
    <x v="1"/>
    <x v="2"/>
    <x v="1"/>
    <n v="800"/>
    <n v="26"/>
    <s v="Met primary endpoint"/>
    <n v="1"/>
    <n v="0"/>
    <n v="13.9"/>
  </r>
  <r>
    <s v="NCT00000285"/>
    <d v="2017-02-03T00:00:00"/>
    <n v="2017"/>
    <x v="16"/>
    <x v="7"/>
    <x v="0"/>
    <n v="268"/>
    <n v="6"/>
    <s v="Met primary endpoint"/>
    <n v="1"/>
    <n v="0"/>
    <n v="14.5"/>
  </r>
  <r>
    <s v="NCT00000265"/>
    <s v="19-03-2017"/>
    <n v="2017"/>
    <x v="4"/>
    <x v="2"/>
    <x v="1"/>
    <n v="1716"/>
    <n v="34"/>
    <s v="Failed primary endpoint"/>
    <n v="0"/>
    <n v="1"/>
    <n v="-20.399999999999999"/>
  </r>
  <r>
    <s v="NCT00000299"/>
    <s v="21-03-2017"/>
    <n v="2017"/>
    <x v="16"/>
    <x v="3"/>
    <x v="1"/>
    <n v="1216"/>
    <n v="36"/>
    <s v="Met primary endpoint"/>
    <n v="1"/>
    <n v="0"/>
    <n v="4.3"/>
  </r>
  <r>
    <s v="NCT00000294"/>
    <s v="23-03-2017"/>
    <n v="2017"/>
    <x v="15"/>
    <x v="9"/>
    <x v="1"/>
    <n v="2529"/>
    <n v="36"/>
    <s v="Failed primary endpoint"/>
    <n v="0"/>
    <n v="1"/>
    <n v="-10.3"/>
  </r>
  <r>
    <s v="NCT00000262"/>
    <d v="2017-01-04T00:00:00"/>
    <n v="2017"/>
    <x v="2"/>
    <x v="3"/>
    <x v="0"/>
    <n v="100"/>
    <n v="24"/>
    <s v="Met primary endpoint"/>
    <n v="1"/>
    <n v="0"/>
    <n v="11.3"/>
  </r>
  <r>
    <s v="NCT00000287"/>
    <d v="2017-01-04T00:00:00"/>
    <n v="2017"/>
    <x v="9"/>
    <x v="9"/>
    <x v="1"/>
    <n v="1529"/>
    <n v="27"/>
    <s v="Met primary endpoint"/>
    <n v="1"/>
    <n v="0"/>
    <n v="7.8"/>
  </r>
  <r>
    <s v="NCT00000292"/>
    <d v="2017-03-04T00:00:00"/>
    <n v="2017"/>
    <x v="8"/>
    <x v="9"/>
    <x v="0"/>
    <n v="123"/>
    <n v="23"/>
    <s v="Met primary endpoint"/>
    <n v="1"/>
    <n v="0"/>
    <n v="1.1000000000000001"/>
  </r>
  <r>
    <s v="NCT00000269"/>
    <d v="2017-10-04T00:00:00"/>
    <n v="2017"/>
    <x v="0"/>
    <x v="0"/>
    <x v="1"/>
    <n v="1068"/>
    <n v="46"/>
    <s v="Failed primary endpoint"/>
    <n v="0"/>
    <n v="1"/>
    <n v="-5.4"/>
  </r>
  <r>
    <s v="NCT00000296"/>
    <s v="26-04-2017"/>
    <n v="2017"/>
    <x v="3"/>
    <x v="4"/>
    <x v="0"/>
    <n v="444"/>
    <n v="10"/>
    <s v="Met primary endpoint"/>
    <n v="1"/>
    <n v="0"/>
    <n v="10.8"/>
  </r>
  <r>
    <s v="NCT00000280"/>
    <d v="2017-10-05T00:00:00"/>
    <n v="2017"/>
    <x v="10"/>
    <x v="7"/>
    <x v="1"/>
    <n v="2401"/>
    <n v="42"/>
    <s v="Failed primary endpoint"/>
    <n v="0"/>
    <n v="1"/>
    <n v="-26.6"/>
  </r>
  <r>
    <s v="NCT00000267"/>
    <s v="19-05-2017"/>
    <n v="2017"/>
    <x v="7"/>
    <x v="2"/>
    <x v="1"/>
    <n v="1717"/>
    <n v="34"/>
    <s v="Failed primary endpoint"/>
    <n v="0"/>
    <n v="1"/>
    <n v="-1.3"/>
  </r>
  <r>
    <s v="NCT00000293"/>
    <s v="27-05-2017"/>
    <n v="2017"/>
    <x v="4"/>
    <x v="9"/>
    <x v="0"/>
    <n v="153"/>
    <n v="12"/>
    <s v="Met primary endpoint"/>
    <n v="1"/>
    <n v="0"/>
    <n v="10.4"/>
  </r>
  <r>
    <s v="NCT00000297"/>
    <d v="2017-01-06T00:00:00"/>
    <n v="2017"/>
    <x v="19"/>
    <x v="4"/>
    <x v="1"/>
    <n v="262"/>
    <n v="34"/>
    <s v="Met primary endpoint"/>
    <n v="1"/>
    <n v="0"/>
    <n v="8.1"/>
  </r>
  <r>
    <s v="NCT00000260"/>
    <s v="24-06-2017"/>
    <n v="2017"/>
    <x v="19"/>
    <x v="2"/>
    <x v="1"/>
    <n v="2343"/>
    <n v="39"/>
    <s v="Mixed results"/>
    <n v="0"/>
    <n v="0"/>
    <n v="-1.9"/>
  </r>
  <r>
    <s v="NCT00000281"/>
    <d v="2017-01-08T00:00:00"/>
    <n v="2017"/>
    <x v="7"/>
    <x v="4"/>
    <x v="1"/>
    <n v="317"/>
    <n v="34"/>
    <s v="Met primary endpoint"/>
    <n v="1"/>
    <n v="0"/>
    <n v="10.7"/>
  </r>
  <r>
    <s v="NCT00000270"/>
    <d v="2017-06-08T00:00:00"/>
    <n v="2017"/>
    <x v="10"/>
    <x v="1"/>
    <x v="0"/>
    <n v="162"/>
    <n v="20"/>
    <s v="Met primary endpoint"/>
    <n v="1"/>
    <n v="0"/>
    <n v="1.3"/>
  </r>
  <r>
    <s v="NCT00000278"/>
    <d v="2017-10-08T00:00:00"/>
    <n v="2017"/>
    <x v="2"/>
    <x v="2"/>
    <x v="0"/>
    <n v="218"/>
    <n v="6"/>
    <s v="Failed primary endpoint"/>
    <n v="0"/>
    <n v="1"/>
    <n v="-20.100000000000001"/>
  </r>
  <r>
    <s v="NCT00000273"/>
    <s v="13-08-2017"/>
    <n v="2017"/>
    <x v="16"/>
    <x v="3"/>
    <x v="1"/>
    <n v="2089"/>
    <n v="35"/>
    <s v="Failed primary endpoint"/>
    <n v="0"/>
    <n v="1"/>
    <n v="-20.399999999999999"/>
  </r>
  <r>
    <s v="NCT00000288"/>
    <d v="2017-04-09T00:00:00"/>
    <n v="2017"/>
    <x v="20"/>
    <x v="2"/>
    <x v="1"/>
    <n v="1037"/>
    <n v="29"/>
    <s v="Met primary endpoint"/>
    <n v="1"/>
    <n v="0"/>
    <n v="13.3"/>
  </r>
  <r>
    <s v="NCT00000279"/>
    <s v="19-09-2017"/>
    <n v="2017"/>
    <x v="12"/>
    <x v="4"/>
    <x v="1"/>
    <n v="781"/>
    <n v="30"/>
    <s v="Mixed results"/>
    <n v="0"/>
    <n v="0"/>
    <n v="-7.6"/>
  </r>
  <r>
    <s v="NCT00000289"/>
    <s v="22-09-2017"/>
    <n v="2017"/>
    <x v="9"/>
    <x v="2"/>
    <x v="1"/>
    <n v="978"/>
    <n v="34"/>
    <s v="Met primary endpoint"/>
    <n v="1"/>
    <n v="0"/>
    <n v="9.3000000000000007"/>
  </r>
  <r>
    <s v="NCT00000290"/>
    <s v="25-09-2017"/>
    <n v="2017"/>
    <x v="10"/>
    <x v="9"/>
    <x v="1"/>
    <n v="886"/>
    <n v="33"/>
    <s v="Met primary endpoint"/>
    <n v="1"/>
    <n v="0"/>
    <n v="6.3"/>
  </r>
  <r>
    <s v="NCT00000268"/>
    <d v="2017-04-10T00:00:00"/>
    <n v="2017"/>
    <x v="19"/>
    <x v="7"/>
    <x v="1"/>
    <n v="978"/>
    <n v="34"/>
    <s v="Mixed results"/>
    <n v="0"/>
    <n v="0"/>
    <n v="-9.6999999999999993"/>
  </r>
  <r>
    <s v="NCT00000284"/>
    <d v="2017-08-10T00:00:00"/>
    <n v="2017"/>
    <x v="3"/>
    <x v="7"/>
    <x v="0"/>
    <n v="375"/>
    <n v="21"/>
    <s v="Met primary endpoint"/>
    <n v="1"/>
    <n v="0"/>
    <n v="6.9"/>
  </r>
  <r>
    <s v="NCT00000271"/>
    <d v="2017-12-10T00:00:00"/>
    <n v="2017"/>
    <x v="6"/>
    <x v="7"/>
    <x v="0"/>
    <n v="54"/>
    <n v="8"/>
    <s v="Met primary endpoint"/>
    <n v="1"/>
    <n v="0"/>
    <n v="-1.4"/>
  </r>
  <r>
    <s v="NCT00000274"/>
    <s v="22-10-2017"/>
    <n v="2017"/>
    <x v="18"/>
    <x v="2"/>
    <x v="0"/>
    <n v="180"/>
    <n v="18"/>
    <s v="Failed primary endpoint"/>
    <n v="0"/>
    <n v="1"/>
    <n v="-4.5999999999999996"/>
  </r>
  <r>
    <s v="NCT00000282"/>
    <s v="27-10-2017"/>
    <n v="2017"/>
    <x v="5"/>
    <x v="9"/>
    <x v="0"/>
    <n v="229"/>
    <n v="12"/>
    <s v="Met primary endpoint"/>
    <n v="1"/>
    <n v="0"/>
    <n v="6.5"/>
  </r>
  <r>
    <s v="NCT00000276"/>
    <d v="2017-01-11T00:00:00"/>
    <n v="2017"/>
    <x v="5"/>
    <x v="2"/>
    <x v="0"/>
    <n v="276"/>
    <n v="21"/>
    <s v="Mixed results"/>
    <n v="0"/>
    <n v="0"/>
    <n v="-9.1"/>
  </r>
  <r>
    <s v="NCT00000261"/>
    <d v="2017-08-11T00:00:00"/>
    <n v="2017"/>
    <x v="17"/>
    <x v="7"/>
    <x v="0"/>
    <n v="222"/>
    <n v="17"/>
    <s v="Failed primary endpoint"/>
    <n v="0"/>
    <n v="1"/>
    <n v="-15.1"/>
  </r>
  <r>
    <s v="NCT00000291"/>
    <d v="2017-11-11T00:00:00"/>
    <n v="2017"/>
    <x v="0"/>
    <x v="1"/>
    <x v="0"/>
    <n v="183"/>
    <n v="12"/>
    <s v="Mixed results"/>
    <n v="0"/>
    <n v="0"/>
    <n v="-7.8"/>
  </r>
  <r>
    <s v="NCT00000275"/>
    <s v="25-11-2017"/>
    <n v="2017"/>
    <x v="7"/>
    <x v="1"/>
    <x v="1"/>
    <n v="861"/>
    <n v="31"/>
    <s v="Met primary endpoint"/>
    <n v="1"/>
    <n v="0"/>
    <n v="4.9000000000000004"/>
  </r>
  <r>
    <s v="NCT00000295"/>
    <s v="16-12-2017"/>
    <n v="2017"/>
    <x v="2"/>
    <x v="1"/>
    <x v="1"/>
    <n v="1642"/>
    <n v="34"/>
    <s v="Met primary endpoint"/>
    <n v="1"/>
    <n v="0"/>
    <n v="8"/>
  </r>
  <r>
    <s v="NCT00000263"/>
    <s v="19-12-2017"/>
    <n v="2017"/>
    <x v="0"/>
    <x v="3"/>
    <x v="0"/>
    <n v="151"/>
    <n v="24"/>
    <s v="Met primary endpoint"/>
    <n v="1"/>
    <n v="0"/>
    <n v="17.899999999999999"/>
  </r>
  <r>
    <s v="NCT00000272"/>
    <s v="24-12-2017"/>
    <n v="2017"/>
    <x v="11"/>
    <x v="2"/>
    <x v="0"/>
    <n v="248"/>
    <n v="19"/>
    <s v="Met primary endpoint"/>
    <n v="1"/>
    <n v="0"/>
    <n v="5.9"/>
  </r>
  <r>
    <s v="NCT00000283"/>
    <s v="26-12-2017"/>
    <n v="2017"/>
    <x v="19"/>
    <x v="9"/>
    <x v="0"/>
    <n v="241"/>
    <n v="21"/>
    <s v="Met primary endpoint"/>
    <n v="1"/>
    <n v="0"/>
    <n v="5.8"/>
  </r>
  <r>
    <s v="NCT00000322"/>
    <d v="2018-12-02T00:00:00"/>
    <n v="2018"/>
    <x v="13"/>
    <x v="1"/>
    <x v="0"/>
    <n v="272"/>
    <n v="18"/>
    <s v="Met primary endpoint"/>
    <n v="1"/>
    <n v="0"/>
    <n v="12.6"/>
  </r>
  <r>
    <s v="NCT00000327"/>
    <s v="15-02-2018"/>
    <n v="2018"/>
    <x v="3"/>
    <x v="2"/>
    <x v="1"/>
    <n v="1519"/>
    <n v="37"/>
    <s v="Failed primary endpoint"/>
    <n v="0"/>
    <n v="1"/>
    <n v="-2.2000000000000002"/>
  </r>
  <r>
    <s v="NCT00000307"/>
    <s v="14-03-2018"/>
    <n v="2018"/>
    <x v="1"/>
    <x v="2"/>
    <x v="1"/>
    <n v="732"/>
    <n v="36"/>
    <s v="Failed primary endpoint"/>
    <n v="0"/>
    <n v="1"/>
    <n v="-19.8"/>
  </r>
  <r>
    <s v="NCT00000316"/>
    <s v="16-03-2018"/>
    <n v="2018"/>
    <x v="0"/>
    <x v="0"/>
    <x v="0"/>
    <n v="292"/>
    <n v="18"/>
    <s v="Failed primary endpoint"/>
    <n v="0"/>
    <n v="1"/>
    <n v="-23.5"/>
  </r>
  <r>
    <s v="NCT00000304"/>
    <d v="2018-03-04T00:00:00"/>
    <n v="2018"/>
    <x v="4"/>
    <x v="7"/>
    <x v="0"/>
    <n v="558"/>
    <n v="13"/>
    <s v="Failed primary endpoint"/>
    <n v="0"/>
    <n v="1"/>
    <n v="-21"/>
  </r>
  <r>
    <s v="NCT00000335"/>
    <d v="2018-10-04T00:00:00"/>
    <n v="2018"/>
    <x v="13"/>
    <x v="9"/>
    <x v="0"/>
    <n v="388"/>
    <n v="14"/>
    <s v="Met primary endpoint"/>
    <n v="1"/>
    <n v="0"/>
    <n v="9.3000000000000007"/>
  </r>
  <r>
    <s v="NCT00000324"/>
    <s v="17-04-2018"/>
    <n v="2018"/>
    <x v="0"/>
    <x v="9"/>
    <x v="0"/>
    <n v="87"/>
    <n v="14"/>
    <s v="Met primary endpoint"/>
    <n v="1"/>
    <n v="0"/>
    <n v="11.8"/>
  </r>
  <r>
    <s v="NCT00000321"/>
    <d v="2018-04-05T00:00:00"/>
    <n v="2018"/>
    <x v="0"/>
    <x v="3"/>
    <x v="1"/>
    <n v="2695"/>
    <n v="27"/>
    <s v="Met primary endpoint"/>
    <n v="1"/>
    <n v="0"/>
    <n v="4.0999999999999996"/>
  </r>
  <r>
    <s v="NCT00000312"/>
    <d v="2018-08-05T00:00:00"/>
    <n v="2018"/>
    <x v="14"/>
    <x v="4"/>
    <x v="1"/>
    <n v="865"/>
    <n v="25"/>
    <s v="Met primary endpoint"/>
    <n v="1"/>
    <n v="0"/>
    <n v="9.6"/>
  </r>
  <r>
    <s v="NCT00000315"/>
    <d v="2018-11-05T00:00:00"/>
    <n v="2018"/>
    <x v="6"/>
    <x v="3"/>
    <x v="1"/>
    <n v="3095"/>
    <n v="32"/>
    <s v="Met primary endpoint"/>
    <n v="1"/>
    <n v="0"/>
    <n v="7.3"/>
  </r>
  <r>
    <s v="NCT00000303"/>
    <d v="2018-03-06T00:00:00"/>
    <n v="2018"/>
    <x v="7"/>
    <x v="2"/>
    <x v="0"/>
    <n v="179"/>
    <n v="9"/>
    <s v="Failed primary endpoint"/>
    <n v="0"/>
    <n v="1"/>
    <n v="-29.8"/>
  </r>
  <r>
    <s v="NCT00000326"/>
    <d v="2018-11-06T00:00:00"/>
    <n v="2018"/>
    <x v="8"/>
    <x v="2"/>
    <x v="0"/>
    <n v="523"/>
    <n v="26"/>
    <s v="Failed primary endpoint"/>
    <n v="0"/>
    <n v="1"/>
    <n v="-2.4"/>
  </r>
  <r>
    <s v="NCT00000302"/>
    <d v="2018-12-06T00:00:00"/>
    <n v="2018"/>
    <x v="1"/>
    <x v="2"/>
    <x v="1"/>
    <n v="1729"/>
    <n v="32"/>
    <s v="Failed primary endpoint"/>
    <n v="0"/>
    <n v="1"/>
    <n v="-23.1"/>
  </r>
  <r>
    <s v="NCT00000318"/>
    <s v="17-06-2018"/>
    <n v="2018"/>
    <x v="0"/>
    <x v="1"/>
    <x v="1"/>
    <n v="1272"/>
    <n v="38"/>
    <s v="Met primary endpoint"/>
    <n v="1"/>
    <n v="0"/>
    <n v="10.1"/>
  </r>
  <r>
    <s v="NCT00000328"/>
    <s v="26-06-2018"/>
    <n v="2018"/>
    <x v="19"/>
    <x v="3"/>
    <x v="1"/>
    <n v="1677"/>
    <n v="27"/>
    <s v="Met primary endpoint"/>
    <n v="1"/>
    <n v="0"/>
    <n v="16.2"/>
  </r>
  <r>
    <s v="NCT00000311"/>
    <d v="2018-02-08T00:00:00"/>
    <n v="2018"/>
    <x v="10"/>
    <x v="7"/>
    <x v="0"/>
    <n v="330"/>
    <n v="18"/>
    <s v="Mixed results"/>
    <n v="0"/>
    <n v="0"/>
    <n v="-8.8000000000000007"/>
  </r>
  <r>
    <s v="NCT00000301"/>
    <d v="2018-03-08T00:00:00"/>
    <n v="2018"/>
    <x v="14"/>
    <x v="2"/>
    <x v="1"/>
    <n v="975"/>
    <n v="35"/>
    <s v="Failed primary endpoint"/>
    <n v="0"/>
    <n v="1"/>
    <n v="-4.4000000000000004"/>
  </r>
  <r>
    <s v="NCT00000331"/>
    <d v="2018-04-08T00:00:00"/>
    <n v="2018"/>
    <x v="10"/>
    <x v="8"/>
    <x v="0"/>
    <n v="343"/>
    <n v="22"/>
    <s v="Met primary endpoint"/>
    <n v="1"/>
    <n v="0"/>
    <n v="13.2"/>
  </r>
  <r>
    <s v="NCT00000314"/>
    <d v="2018-06-08T00:00:00"/>
    <n v="2018"/>
    <x v="6"/>
    <x v="2"/>
    <x v="0"/>
    <n v="542"/>
    <n v="18"/>
    <s v="Mixed results"/>
    <n v="0"/>
    <n v="0"/>
    <n v="-6.3"/>
  </r>
  <r>
    <s v="NCT00000334"/>
    <d v="2018-11-08T00:00:00"/>
    <n v="2018"/>
    <x v="15"/>
    <x v="6"/>
    <x v="1"/>
    <n v="1696"/>
    <n v="33"/>
    <s v="Met primary endpoint"/>
    <n v="1"/>
    <n v="0"/>
    <n v="3.8"/>
  </r>
  <r>
    <s v="NCT00000313"/>
    <s v="17-08-2018"/>
    <n v="2018"/>
    <x v="7"/>
    <x v="0"/>
    <x v="1"/>
    <n v="434"/>
    <n v="48"/>
    <s v="Failed primary endpoint"/>
    <n v="0"/>
    <n v="1"/>
    <n v="-36.9"/>
  </r>
  <r>
    <s v="NCT00000332"/>
    <d v="2018-01-09T00:00:00"/>
    <n v="2018"/>
    <x v="20"/>
    <x v="3"/>
    <x v="0"/>
    <n v="595"/>
    <n v="25"/>
    <s v="Met primary endpoint"/>
    <n v="1"/>
    <n v="0"/>
    <n v="7.9"/>
  </r>
  <r>
    <s v="NCT00000333"/>
    <d v="2018-04-09T00:00:00"/>
    <n v="2018"/>
    <x v="10"/>
    <x v="2"/>
    <x v="1"/>
    <n v="1681"/>
    <n v="42"/>
    <s v="Failed primary endpoint"/>
    <n v="0"/>
    <n v="1"/>
    <n v="-32.299999999999997"/>
  </r>
  <r>
    <s v="NCT00000320"/>
    <s v="17-09-2018"/>
    <n v="2018"/>
    <x v="18"/>
    <x v="2"/>
    <x v="0"/>
    <n v="132"/>
    <n v="12"/>
    <s v="Met primary endpoint"/>
    <n v="1"/>
    <n v="0"/>
    <n v="8.6999999999999993"/>
  </r>
  <r>
    <s v="NCT00000305"/>
    <d v="2018-04-10T00:00:00"/>
    <n v="2018"/>
    <x v="17"/>
    <x v="2"/>
    <x v="0"/>
    <n v="373"/>
    <n v="24"/>
    <s v="Failed primary endpoint"/>
    <n v="0"/>
    <n v="1"/>
    <n v="-20.3"/>
  </r>
  <r>
    <s v="NCT00000310"/>
    <s v="19-10-2018"/>
    <n v="2018"/>
    <x v="13"/>
    <x v="7"/>
    <x v="0"/>
    <n v="359"/>
    <n v="17"/>
    <s v="Failed primary endpoint"/>
    <n v="0"/>
    <n v="1"/>
    <n v="-9.1"/>
  </r>
  <r>
    <s v="NCT00000323"/>
    <s v="22-10-2018"/>
    <n v="2018"/>
    <x v="6"/>
    <x v="2"/>
    <x v="1"/>
    <n v="413"/>
    <n v="35"/>
    <s v="Failed primary endpoint"/>
    <n v="0"/>
    <n v="1"/>
    <n v="-6.6"/>
  </r>
  <r>
    <s v="NCT00000330"/>
    <s v="25-10-2018"/>
    <n v="2018"/>
    <x v="9"/>
    <x v="4"/>
    <x v="1"/>
    <n v="2041"/>
    <n v="39"/>
    <s v="Met primary endpoint"/>
    <n v="1"/>
    <n v="0"/>
    <n v="7.7"/>
  </r>
  <r>
    <s v="NCT00000306"/>
    <s v="15-11-2018"/>
    <n v="2018"/>
    <x v="3"/>
    <x v="0"/>
    <x v="1"/>
    <n v="239"/>
    <n v="39"/>
    <s v="Met primary endpoint"/>
    <n v="1"/>
    <n v="0"/>
    <n v="2.4"/>
  </r>
  <r>
    <s v="NCT00000319"/>
    <s v="20-11-2018"/>
    <n v="2018"/>
    <x v="14"/>
    <x v="2"/>
    <x v="0"/>
    <n v="96"/>
    <n v="18"/>
    <s v="Met primary endpoint"/>
    <n v="1"/>
    <n v="0"/>
    <n v="9"/>
  </r>
  <r>
    <s v="NCT00000317"/>
    <s v="23-11-2018"/>
    <n v="2018"/>
    <x v="2"/>
    <x v="1"/>
    <x v="1"/>
    <n v="745"/>
    <n v="51"/>
    <s v="Met primary endpoint"/>
    <n v="1"/>
    <n v="0"/>
    <n v="8.6999999999999993"/>
  </r>
  <r>
    <s v="NCT00000308"/>
    <s v="26-11-2018"/>
    <n v="2018"/>
    <x v="18"/>
    <x v="3"/>
    <x v="0"/>
    <n v="205"/>
    <n v="8"/>
    <s v="Met primary endpoint"/>
    <n v="1"/>
    <n v="0"/>
    <n v="-0.4"/>
  </r>
  <r>
    <s v="NCT00000325"/>
    <d v="2018-01-12T00:00:00"/>
    <n v="2018"/>
    <x v="0"/>
    <x v="6"/>
    <x v="0"/>
    <n v="295"/>
    <n v="23"/>
    <s v="Failed primary endpoint"/>
    <n v="0"/>
    <n v="1"/>
    <n v="-5"/>
  </r>
  <r>
    <s v="NCT00000309"/>
    <d v="2018-11-12T00:00:00"/>
    <n v="2018"/>
    <x v="17"/>
    <x v="7"/>
    <x v="1"/>
    <n v="410"/>
    <n v="41"/>
    <s v="Met primary endpoint"/>
    <n v="1"/>
    <n v="0"/>
    <n v="5.3"/>
  </r>
  <r>
    <s v="NCT00000329"/>
    <d v="2018-11-12T00:00:00"/>
    <n v="2018"/>
    <x v="12"/>
    <x v="6"/>
    <x v="1"/>
    <n v="1588"/>
    <n v="50"/>
    <s v="Met primary endpoint"/>
    <n v="1"/>
    <n v="0"/>
    <n v="15.1"/>
  </r>
  <r>
    <s v="NCT00000300"/>
    <s v="25-12-2018"/>
    <n v="2018"/>
    <x v="1"/>
    <x v="3"/>
    <x v="1"/>
    <n v="524"/>
    <n v="35"/>
    <s v="Met primary endpoint"/>
    <n v="1"/>
    <n v="0"/>
    <n v="6.2"/>
  </r>
  <r>
    <s v="NCT00000362"/>
    <d v="2019-03-01T00:00:00"/>
    <n v="2019"/>
    <x v="18"/>
    <x v="7"/>
    <x v="0"/>
    <n v="96"/>
    <n v="22"/>
    <s v="Met primary endpoint"/>
    <n v="1"/>
    <n v="0"/>
    <n v="7.3"/>
  </r>
  <r>
    <s v="NCT00000364"/>
    <s v="20-01-2019"/>
    <n v="2019"/>
    <x v="2"/>
    <x v="2"/>
    <x v="0"/>
    <n v="438"/>
    <n v="17"/>
    <s v="Met primary endpoint"/>
    <n v="1"/>
    <n v="0"/>
    <n v="7.6"/>
  </r>
  <r>
    <s v="NCT00000356"/>
    <d v="2019-08-02T00:00:00"/>
    <n v="2019"/>
    <x v="11"/>
    <x v="2"/>
    <x v="1"/>
    <n v="908"/>
    <n v="40"/>
    <s v="Met primary endpoint"/>
    <n v="1"/>
    <n v="0"/>
    <n v="3"/>
  </r>
  <r>
    <s v="NCT00000338"/>
    <d v="2019-11-02T00:00:00"/>
    <n v="2019"/>
    <x v="16"/>
    <x v="3"/>
    <x v="0"/>
    <n v="128"/>
    <n v="17"/>
    <s v="Met primary endpoint"/>
    <n v="1"/>
    <n v="0"/>
    <n v="12.9"/>
  </r>
  <r>
    <s v="NCT00000358"/>
    <s v="20-02-2019"/>
    <n v="2019"/>
    <x v="20"/>
    <x v="2"/>
    <x v="1"/>
    <n v="853"/>
    <n v="37"/>
    <s v="Failed primary endpoint"/>
    <n v="0"/>
    <n v="1"/>
    <n v="0.7"/>
  </r>
  <r>
    <s v="NCT00000343"/>
    <d v="2019-06-03T00:00:00"/>
    <n v="2019"/>
    <x v="5"/>
    <x v="4"/>
    <x v="0"/>
    <n v="109"/>
    <n v="20"/>
    <s v="Met primary endpoint"/>
    <n v="1"/>
    <n v="0"/>
    <n v="9.1999999999999993"/>
  </r>
  <r>
    <s v="NCT00000361"/>
    <s v="22-03-2019"/>
    <n v="2019"/>
    <x v="7"/>
    <x v="5"/>
    <x v="0"/>
    <n v="180"/>
    <n v="20"/>
    <s v="Met primary endpoint"/>
    <n v="1"/>
    <n v="0"/>
    <n v="4"/>
  </r>
  <r>
    <s v="NCT00000348"/>
    <d v="2019-03-04T00:00:00"/>
    <n v="2019"/>
    <x v="13"/>
    <x v="9"/>
    <x v="1"/>
    <n v="1502"/>
    <n v="28"/>
    <s v="Met primary endpoint"/>
    <n v="1"/>
    <n v="0"/>
    <n v="12.2"/>
  </r>
  <r>
    <s v="NCT00000342"/>
    <d v="2019-04-04T00:00:00"/>
    <n v="2019"/>
    <x v="2"/>
    <x v="0"/>
    <x v="1"/>
    <n v="1467"/>
    <n v="28"/>
    <s v="Failed primary endpoint"/>
    <n v="0"/>
    <n v="1"/>
    <n v="-16"/>
  </r>
  <r>
    <s v="NCT00000359"/>
    <d v="2019-04-05T00:00:00"/>
    <n v="2019"/>
    <x v="13"/>
    <x v="7"/>
    <x v="0"/>
    <n v="196"/>
    <n v="24"/>
    <s v="Met primary endpoint"/>
    <n v="1"/>
    <n v="0"/>
    <n v="5.4"/>
  </r>
  <r>
    <s v="NCT00000360"/>
    <s v="19-05-2019"/>
    <n v="2019"/>
    <x v="19"/>
    <x v="2"/>
    <x v="1"/>
    <n v="1598"/>
    <n v="32"/>
    <s v="Failed primary endpoint"/>
    <n v="0"/>
    <n v="1"/>
    <n v="-29.1"/>
  </r>
  <r>
    <s v="NCT00000357"/>
    <s v="16-06-2019"/>
    <n v="2019"/>
    <x v="5"/>
    <x v="7"/>
    <x v="1"/>
    <n v="1693"/>
    <n v="41"/>
    <s v="Failed primary endpoint"/>
    <n v="0"/>
    <n v="1"/>
    <n v="-16.8"/>
  </r>
  <r>
    <s v="NCT00000339"/>
    <d v="2019-09-07T00:00:00"/>
    <n v="2019"/>
    <x v="14"/>
    <x v="2"/>
    <x v="0"/>
    <n v="223"/>
    <n v="13"/>
    <s v="Met primary endpoint"/>
    <n v="1"/>
    <n v="0"/>
    <n v="10"/>
  </r>
  <r>
    <s v="NCT00000345"/>
    <d v="2019-10-07T00:00:00"/>
    <n v="2019"/>
    <x v="11"/>
    <x v="3"/>
    <x v="0"/>
    <n v="265"/>
    <n v="10"/>
    <s v="Met primary endpoint"/>
    <n v="1"/>
    <n v="0"/>
    <n v="4.8"/>
  </r>
  <r>
    <s v="NCT00000368"/>
    <d v="2019-12-07T00:00:00"/>
    <n v="2019"/>
    <x v="13"/>
    <x v="4"/>
    <x v="1"/>
    <n v="1088"/>
    <n v="32"/>
    <s v="Mixed results"/>
    <n v="0"/>
    <n v="0"/>
    <n v="-2"/>
  </r>
  <r>
    <s v="NCT00000350"/>
    <s v="16-07-2019"/>
    <n v="2019"/>
    <x v="11"/>
    <x v="2"/>
    <x v="0"/>
    <n v="225"/>
    <n v="16"/>
    <s v="Mixed results"/>
    <n v="0"/>
    <n v="0"/>
    <n v="-2.7"/>
  </r>
  <r>
    <s v="NCT00000355"/>
    <d v="2019-02-08T00:00:00"/>
    <n v="2019"/>
    <x v="7"/>
    <x v="0"/>
    <x v="0"/>
    <n v="341"/>
    <n v="20"/>
    <s v="Mixed results"/>
    <n v="0"/>
    <n v="0"/>
    <n v="-4.4000000000000004"/>
  </r>
  <r>
    <s v="NCT00000344"/>
    <d v="2019-05-08T00:00:00"/>
    <n v="2019"/>
    <x v="15"/>
    <x v="4"/>
    <x v="1"/>
    <n v="1236"/>
    <n v="39"/>
    <s v="Met primary endpoint"/>
    <n v="1"/>
    <n v="0"/>
    <n v="11.3"/>
  </r>
  <r>
    <s v="NCT00000347"/>
    <d v="2019-09-08T00:00:00"/>
    <n v="2019"/>
    <x v="6"/>
    <x v="9"/>
    <x v="1"/>
    <n v="1001"/>
    <n v="39"/>
    <s v="Failed primary endpoint"/>
    <n v="0"/>
    <n v="1"/>
    <n v="-15"/>
  </r>
  <r>
    <s v="NCT00000337"/>
    <d v="2019-03-09T00:00:00"/>
    <n v="2019"/>
    <x v="14"/>
    <x v="2"/>
    <x v="1"/>
    <n v="584"/>
    <n v="40"/>
    <s v="Met primary endpoint"/>
    <n v="1"/>
    <n v="0"/>
    <n v="11.2"/>
  </r>
  <r>
    <s v="NCT00000340"/>
    <d v="2019-06-09T00:00:00"/>
    <n v="2019"/>
    <x v="8"/>
    <x v="0"/>
    <x v="1"/>
    <n v="973"/>
    <n v="32"/>
    <s v="Met primary endpoint"/>
    <n v="1"/>
    <n v="0"/>
    <n v="8.1999999999999993"/>
  </r>
  <r>
    <s v="NCT00000341"/>
    <s v="14-09-2019"/>
    <n v="2019"/>
    <x v="7"/>
    <x v="4"/>
    <x v="1"/>
    <n v="1076"/>
    <n v="29"/>
    <s v="Failed primary endpoint"/>
    <n v="0"/>
    <n v="1"/>
    <n v="-4.2"/>
  </r>
  <r>
    <s v="NCT00000354"/>
    <s v="15-09-2019"/>
    <n v="2019"/>
    <x v="4"/>
    <x v="8"/>
    <x v="1"/>
    <n v="1066"/>
    <n v="36"/>
    <s v="Failed primary endpoint"/>
    <n v="0"/>
    <n v="1"/>
    <n v="-12.5"/>
  </r>
  <r>
    <s v="NCT00000366"/>
    <s v="18-09-2019"/>
    <n v="2019"/>
    <x v="2"/>
    <x v="7"/>
    <x v="1"/>
    <n v="897"/>
    <n v="41"/>
    <s v="Failed primary endpoint"/>
    <n v="0"/>
    <n v="1"/>
    <n v="-12.6"/>
  </r>
  <r>
    <s v="NCT00000353"/>
    <s v="27-09-2019"/>
    <n v="2019"/>
    <x v="12"/>
    <x v="6"/>
    <x v="0"/>
    <n v="221"/>
    <n v="18"/>
    <s v="Met primary endpoint"/>
    <n v="1"/>
    <n v="0"/>
    <n v="14.6"/>
  </r>
  <r>
    <s v="NCT00000367"/>
    <s v="24-10-2019"/>
    <n v="2019"/>
    <x v="18"/>
    <x v="2"/>
    <x v="1"/>
    <n v="3225"/>
    <n v="48"/>
    <s v="Mixed results"/>
    <n v="0"/>
    <n v="0"/>
    <n v="-11.7"/>
  </r>
  <r>
    <s v="NCT00000336"/>
    <s v="26-10-2019"/>
    <n v="2019"/>
    <x v="5"/>
    <x v="9"/>
    <x v="0"/>
    <n v="173"/>
    <n v="13"/>
    <s v="Met primary endpoint"/>
    <n v="1"/>
    <n v="0"/>
    <n v="12.3"/>
  </r>
  <r>
    <s v="NCT00000351"/>
    <d v="2019-11-11T00:00:00"/>
    <n v="2019"/>
    <x v="3"/>
    <x v="8"/>
    <x v="0"/>
    <n v="148"/>
    <n v="20"/>
    <s v="Failed primary endpoint"/>
    <n v="0"/>
    <n v="1"/>
    <n v="-26.8"/>
  </r>
  <r>
    <s v="NCT00000349"/>
    <s v="15-11-2019"/>
    <n v="2019"/>
    <x v="14"/>
    <x v="5"/>
    <x v="0"/>
    <n v="326"/>
    <n v="9"/>
    <s v="Met primary endpoint"/>
    <n v="1"/>
    <n v="0"/>
    <n v="5.9"/>
  </r>
  <r>
    <s v="NCT00000346"/>
    <s v="22-11-2019"/>
    <n v="2019"/>
    <x v="6"/>
    <x v="0"/>
    <x v="0"/>
    <n v="463"/>
    <n v="15"/>
    <s v="Failed primary endpoint"/>
    <n v="0"/>
    <n v="1"/>
    <n v="-23.2"/>
  </r>
  <r>
    <s v="NCT00000363"/>
    <d v="2019-07-12T00:00:00"/>
    <n v="2019"/>
    <x v="6"/>
    <x v="1"/>
    <x v="0"/>
    <n v="166"/>
    <n v="23"/>
    <s v="Met primary endpoint"/>
    <n v="1"/>
    <n v="0"/>
    <n v="9.1999999999999993"/>
  </r>
  <r>
    <s v="NCT00000365"/>
    <d v="2019-08-12T00:00:00"/>
    <n v="2019"/>
    <x v="15"/>
    <x v="6"/>
    <x v="0"/>
    <n v="182"/>
    <n v="7"/>
    <s v="Met primary endpoint"/>
    <n v="1"/>
    <n v="0"/>
    <n v="1.9"/>
  </r>
  <r>
    <s v="NCT00000352"/>
    <s v="24-12-2019"/>
    <n v="2019"/>
    <x v="14"/>
    <x v="2"/>
    <x v="0"/>
    <n v="138"/>
    <n v="25"/>
    <s v="Met primary endpoint"/>
    <n v="1"/>
    <n v="0"/>
    <n v="3.3"/>
  </r>
  <r>
    <s v="NCT00000370"/>
    <d v="2020-05-01T00:00:00"/>
    <n v="2020"/>
    <x v="15"/>
    <x v="7"/>
    <x v="0"/>
    <n v="91"/>
    <n v="17"/>
    <s v="Met primary endpoint"/>
    <n v="1"/>
    <n v="0"/>
    <n v="17.600000000000001"/>
  </r>
  <r>
    <s v="NCT00000385"/>
    <s v="19-01-2020"/>
    <n v="2020"/>
    <x v="1"/>
    <x v="1"/>
    <x v="1"/>
    <n v="1443"/>
    <n v="40"/>
    <s v="Met primary endpoint"/>
    <n v="1"/>
    <n v="0"/>
    <n v="18.3"/>
  </r>
  <r>
    <s v="NCT00000375"/>
    <s v="23-01-2020"/>
    <n v="2020"/>
    <x v="12"/>
    <x v="3"/>
    <x v="1"/>
    <n v="985"/>
    <n v="42"/>
    <s v="Met primary endpoint"/>
    <n v="1"/>
    <n v="0"/>
    <n v="12.7"/>
  </r>
  <r>
    <s v="NCT00000382"/>
    <d v="2020-02-02T00:00:00"/>
    <n v="2020"/>
    <x v="11"/>
    <x v="4"/>
    <x v="1"/>
    <n v="1398"/>
    <n v="32"/>
    <s v="Met primary endpoint"/>
    <n v="1"/>
    <n v="0"/>
    <n v="10.8"/>
  </r>
  <r>
    <s v="NCT00000390"/>
    <d v="2020-07-02T00:00:00"/>
    <n v="2020"/>
    <x v="18"/>
    <x v="0"/>
    <x v="0"/>
    <n v="338"/>
    <n v="22"/>
    <s v="Failed primary endpoint"/>
    <n v="0"/>
    <n v="1"/>
    <n v="-9.4"/>
  </r>
  <r>
    <s v="NCT00000378"/>
    <d v="2020-08-02T00:00:00"/>
    <n v="2020"/>
    <x v="16"/>
    <x v="6"/>
    <x v="0"/>
    <n v="149"/>
    <n v="26"/>
    <s v="Met primary endpoint"/>
    <n v="1"/>
    <n v="0"/>
    <n v="7.6"/>
  </r>
  <r>
    <s v="NCT00000372"/>
    <d v="2020-03-03T00:00:00"/>
    <n v="2020"/>
    <x v="5"/>
    <x v="1"/>
    <x v="1"/>
    <n v="869"/>
    <n v="31"/>
    <s v="Met primary endpoint"/>
    <n v="1"/>
    <n v="0"/>
    <n v="10.4"/>
  </r>
  <r>
    <s v="NCT00000383"/>
    <s v="23-03-2020"/>
    <n v="2020"/>
    <x v="3"/>
    <x v="3"/>
    <x v="0"/>
    <n v="679"/>
    <n v="10"/>
    <s v="Met primary endpoint"/>
    <n v="1"/>
    <n v="0"/>
    <n v="9"/>
  </r>
  <r>
    <s v="NCT00000374"/>
    <d v="2020-05-04T00:00:00"/>
    <n v="2020"/>
    <x v="20"/>
    <x v="3"/>
    <x v="1"/>
    <n v="1761"/>
    <n v="40"/>
    <s v="Met primary endpoint"/>
    <n v="1"/>
    <n v="0"/>
    <n v="7.6"/>
  </r>
  <r>
    <s v="NCT00000380"/>
    <d v="2020-06-04T00:00:00"/>
    <n v="2020"/>
    <x v="1"/>
    <x v="2"/>
    <x v="1"/>
    <n v="1336"/>
    <n v="40"/>
    <s v="Mixed results"/>
    <n v="0"/>
    <n v="0"/>
    <n v="-4.0999999999999996"/>
  </r>
  <r>
    <s v="NCT00000379"/>
    <d v="2020-12-04T00:00:00"/>
    <n v="2020"/>
    <x v="11"/>
    <x v="7"/>
    <x v="0"/>
    <n v="352"/>
    <n v="10"/>
    <s v="Failed primary endpoint"/>
    <n v="0"/>
    <n v="1"/>
    <n v="-1"/>
  </r>
  <r>
    <s v="NCT00000387"/>
    <s v="17-05-2020"/>
    <n v="2020"/>
    <x v="1"/>
    <x v="4"/>
    <x v="1"/>
    <n v="454"/>
    <n v="35"/>
    <s v="Met primary endpoint"/>
    <n v="1"/>
    <n v="0"/>
    <n v="6.5"/>
  </r>
  <r>
    <s v="NCT00000377"/>
    <s v="25-05-2020"/>
    <n v="2020"/>
    <x v="14"/>
    <x v="2"/>
    <x v="1"/>
    <n v="719"/>
    <n v="34"/>
    <s v="Met primary endpoint"/>
    <n v="1"/>
    <n v="0"/>
    <n v="9.1"/>
  </r>
  <r>
    <s v="NCT00000391"/>
    <d v="2020-02-06T00:00:00"/>
    <n v="2020"/>
    <x v="3"/>
    <x v="7"/>
    <x v="0"/>
    <n v="674"/>
    <n v="25"/>
    <s v="Met primary endpoint"/>
    <n v="1"/>
    <n v="0"/>
    <n v="9.6"/>
  </r>
  <r>
    <s v="NCT00000386"/>
    <d v="2020-08-06T00:00:00"/>
    <n v="2020"/>
    <x v="6"/>
    <x v="7"/>
    <x v="0"/>
    <n v="249"/>
    <n v="19"/>
    <s v="Met primary endpoint"/>
    <n v="1"/>
    <n v="0"/>
    <n v="12"/>
  </r>
  <r>
    <s v="NCT00000369"/>
    <s v="26-06-2020"/>
    <n v="2020"/>
    <x v="3"/>
    <x v="4"/>
    <x v="1"/>
    <n v="1183"/>
    <n v="44"/>
    <s v="Met primary endpoint"/>
    <n v="1"/>
    <n v="0"/>
    <n v="5.6"/>
  </r>
  <r>
    <s v="NCT00000371"/>
    <d v="2020-07-07T00:00:00"/>
    <n v="2020"/>
    <x v="11"/>
    <x v="0"/>
    <x v="1"/>
    <n v="2805"/>
    <n v="38"/>
    <s v="Failed primary endpoint"/>
    <n v="0"/>
    <n v="1"/>
    <n v="-13.2"/>
  </r>
  <r>
    <s v="NCT00000389"/>
    <d v="2020-08-07T00:00:00"/>
    <n v="2020"/>
    <x v="18"/>
    <x v="0"/>
    <x v="1"/>
    <n v="1091"/>
    <n v="33"/>
    <s v="Failed primary endpoint"/>
    <n v="0"/>
    <n v="1"/>
    <n v="-24.2"/>
  </r>
  <r>
    <s v="NCT00000381"/>
    <d v="2020-10-07T00:00:00"/>
    <n v="2020"/>
    <x v="13"/>
    <x v="2"/>
    <x v="1"/>
    <n v="489"/>
    <n v="34"/>
    <s v="Failed primary endpoint"/>
    <n v="0"/>
    <n v="1"/>
    <n v="-13.5"/>
  </r>
  <r>
    <s v="NCT00000373"/>
    <d v="2020-06-08T00:00:00"/>
    <n v="2020"/>
    <x v="15"/>
    <x v="6"/>
    <x v="1"/>
    <n v="866"/>
    <n v="39"/>
    <s v="Met primary endpoint"/>
    <n v="1"/>
    <n v="0"/>
    <n v="13.8"/>
  </r>
  <r>
    <s v="NCT00000388"/>
    <d v="2020-01-09T00:00:00"/>
    <n v="2020"/>
    <x v="9"/>
    <x v="2"/>
    <x v="0"/>
    <n v="94"/>
    <n v="6"/>
    <s v="Met primary endpoint"/>
    <n v="1"/>
    <n v="0"/>
    <n v="12.6"/>
  </r>
  <r>
    <s v="NCT00000384"/>
    <d v="2020-04-09T00:00:00"/>
    <n v="2020"/>
    <x v="12"/>
    <x v="1"/>
    <x v="0"/>
    <n v="463"/>
    <n v="17"/>
    <s v="Mixed results"/>
    <n v="0"/>
    <n v="0"/>
    <n v="-2.7"/>
  </r>
  <r>
    <s v="NCT00000392"/>
    <d v="2020-11-09T00:00:00"/>
    <n v="2020"/>
    <x v="1"/>
    <x v="3"/>
    <x v="1"/>
    <n v="690"/>
    <n v="33"/>
    <s v="Met primary endpoint"/>
    <n v="1"/>
    <n v="0"/>
    <n v="15.4"/>
  </r>
  <r>
    <s v="NCT00000376"/>
    <d v="2020-02-10T00:00:00"/>
    <n v="2020"/>
    <x v="2"/>
    <x v="2"/>
    <x v="1"/>
    <n v="1508"/>
    <n v="36"/>
    <s v="Failed primary endpoint"/>
    <n v="0"/>
    <n v="1"/>
    <n v="-15.5"/>
  </r>
  <r>
    <s v="NCT00000393"/>
    <d v="2020-06-10T00:00:00"/>
    <n v="2020"/>
    <x v="5"/>
    <x v="2"/>
    <x v="0"/>
    <n v="210"/>
    <n v="23"/>
    <s v="Met primary endpoint"/>
    <n v="1"/>
    <n v="0"/>
    <n v="9.1999999999999993"/>
  </r>
  <r>
    <s v="NCT00000424"/>
    <d v="2021-01-01T00:00:00"/>
    <n v="2021"/>
    <x v="13"/>
    <x v="4"/>
    <x v="1"/>
    <n v="903"/>
    <n v="38"/>
    <s v="Met primary endpoint"/>
    <n v="1"/>
    <n v="0"/>
    <n v="-5.5"/>
  </r>
  <r>
    <s v="NCT00000419"/>
    <d v="2021-01-01T00:00:00"/>
    <n v="2021"/>
    <x v="7"/>
    <x v="4"/>
    <x v="1"/>
    <n v="2552"/>
    <n v="38"/>
    <s v="Met primary endpoint"/>
    <n v="1"/>
    <n v="0"/>
    <n v="-2.7"/>
  </r>
  <r>
    <s v="NCT00000396"/>
    <d v="2021-05-01T00:00:00"/>
    <n v="2021"/>
    <x v="15"/>
    <x v="0"/>
    <x v="1"/>
    <n v="1410"/>
    <n v="25"/>
    <s v="Mixed results"/>
    <n v="0"/>
    <n v="0"/>
    <n v="-10.5"/>
  </r>
  <r>
    <s v="NCT00000402"/>
    <d v="2021-11-01T00:00:00"/>
    <n v="2021"/>
    <x v="18"/>
    <x v="4"/>
    <x v="1"/>
    <n v="2044"/>
    <n v="43"/>
    <s v="Failed primary endpoint"/>
    <n v="0"/>
    <n v="1"/>
    <n v="-14.8"/>
  </r>
  <r>
    <s v="NCT00000423"/>
    <s v="24-01-2021"/>
    <n v="2021"/>
    <x v="4"/>
    <x v="7"/>
    <x v="1"/>
    <n v="1588"/>
    <n v="29"/>
    <s v="Mixed results"/>
    <n v="0"/>
    <n v="0"/>
    <n v="-9.9"/>
  </r>
  <r>
    <s v="NCT00000411"/>
    <d v="2021-08-02T00:00:00"/>
    <n v="2021"/>
    <x v="3"/>
    <x v="3"/>
    <x v="1"/>
    <n v="499"/>
    <n v="32"/>
    <s v="Met primary endpoint"/>
    <n v="1"/>
    <n v="0"/>
    <n v="9.1999999999999993"/>
  </r>
  <r>
    <s v="NCT00000427"/>
    <s v="23-02-2021"/>
    <n v="2021"/>
    <x v="6"/>
    <x v="9"/>
    <x v="0"/>
    <n v="168"/>
    <n v="16"/>
    <s v="Failed primary endpoint"/>
    <n v="0"/>
    <n v="1"/>
    <n v="1.6"/>
  </r>
  <r>
    <s v="NCT00000430"/>
    <s v="24-02-2021"/>
    <n v="2021"/>
    <x v="4"/>
    <x v="0"/>
    <x v="0"/>
    <n v="344"/>
    <n v="7"/>
    <s v="Failed primary endpoint"/>
    <n v="0"/>
    <n v="1"/>
    <n v="-32.799999999999997"/>
  </r>
  <r>
    <s v="NCT00000425"/>
    <d v="2021-04-03T00:00:00"/>
    <n v="2021"/>
    <x v="5"/>
    <x v="0"/>
    <x v="1"/>
    <n v="2729"/>
    <n v="42"/>
    <s v="Failed primary endpoint"/>
    <n v="0"/>
    <n v="1"/>
    <n v="-30.7"/>
  </r>
  <r>
    <s v="NCT00000400"/>
    <s v="15-03-2021"/>
    <n v="2021"/>
    <x v="2"/>
    <x v="2"/>
    <x v="1"/>
    <n v="565"/>
    <n v="46"/>
    <s v="Failed primary endpoint"/>
    <n v="0"/>
    <n v="1"/>
    <n v="-3.4"/>
  </r>
  <r>
    <s v="NCT00000413"/>
    <s v="20-03-2021"/>
    <n v="2021"/>
    <x v="2"/>
    <x v="4"/>
    <x v="1"/>
    <n v="529"/>
    <n v="36"/>
    <s v="Met primary endpoint"/>
    <n v="1"/>
    <n v="0"/>
    <n v="1.1000000000000001"/>
  </r>
  <r>
    <s v="NCT00000405"/>
    <s v="25-03-2021"/>
    <n v="2021"/>
    <x v="19"/>
    <x v="1"/>
    <x v="1"/>
    <n v="772"/>
    <n v="24"/>
    <s v="Failed primary endpoint"/>
    <n v="0"/>
    <n v="1"/>
    <n v="2.2999999999999998"/>
  </r>
  <r>
    <s v="NCT00000406"/>
    <d v="2021-11-04T00:00:00"/>
    <n v="2021"/>
    <x v="18"/>
    <x v="2"/>
    <x v="0"/>
    <n v="232"/>
    <n v="26"/>
    <s v="Mixed results"/>
    <n v="0"/>
    <n v="0"/>
    <n v="-4.0999999999999996"/>
  </r>
  <r>
    <s v="NCT00000415"/>
    <s v="13-04-2021"/>
    <n v="2021"/>
    <x v="10"/>
    <x v="1"/>
    <x v="0"/>
    <n v="182"/>
    <n v="26"/>
    <s v="Met primary endpoint"/>
    <n v="1"/>
    <n v="0"/>
    <n v="14.2"/>
  </r>
  <r>
    <s v="NCT00000414"/>
    <s v="17-04-2021"/>
    <n v="2021"/>
    <x v="0"/>
    <x v="4"/>
    <x v="0"/>
    <n v="187"/>
    <n v="9"/>
    <s v="Met primary endpoint"/>
    <n v="1"/>
    <n v="0"/>
    <n v="5.6"/>
  </r>
  <r>
    <s v="NCT00000418"/>
    <s v="21-04-2021"/>
    <n v="2021"/>
    <x v="13"/>
    <x v="1"/>
    <x v="1"/>
    <n v="1528"/>
    <n v="38"/>
    <s v="Mixed results"/>
    <n v="0"/>
    <n v="0"/>
    <n v="-5.2"/>
  </r>
  <r>
    <s v="NCT00000404"/>
    <d v="2021-03-05T00:00:00"/>
    <n v="2021"/>
    <x v="13"/>
    <x v="7"/>
    <x v="1"/>
    <n v="1255"/>
    <n v="37"/>
    <s v="Failed primary endpoint"/>
    <n v="0"/>
    <n v="1"/>
    <n v="-21.5"/>
  </r>
  <r>
    <s v="NCT00000409"/>
    <d v="2021-11-05T00:00:00"/>
    <n v="2021"/>
    <x v="1"/>
    <x v="2"/>
    <x v="1"/>
    <n v="2710"/>
    <n v="42"/>
    <s v="Failed primary endpoint"/>
    <n v="0"/>
    <n v="1"/>
    <n v="-14.2"/>
  </r>
  <r>
    <s v="NCT00000421"/>
    <s v="26-05-2021"/>
    <n v="2021"/>
    <x v="7"/>
    <x v="2"/>
    <x v="1"/>
    <n v="1127"/>
    <n v="42"/>
    <s v="Failed primary endpoint"/>
    <n v="0"/>
    <n v="1"/>
    <n v="-0.8"/>
  </r>
  <r>
    <s v="NCT00000426"/>
    <d v="2021-01-06T00:00:00"/>
    <n v="2021"/>
    <x v="5"/>
    <x v="2"/>
    <x v="1"/>
    <n v="889"/>
    <n v="40"/>
    <s v="Failed primary endpoint"/>
    <n v="0"/>
    <n v="1"/>
    <n v="-10.4"/>
  </r>
  <r>
    <s v="NCT00000432"/>
    <s v="27-06-2021"/>
    <n v="2021"/>
    <x v="10"/>
    <x v="4"/>
    <x v="0"/>
    <n v="467"/>
    <n v="24"/>
    <s v="Failed primary endpoint"/>
    <n v="0"/>
    <n v="1"/>
    <n v="-7"/>
  </r>
  <r>
    <s v="NCT00000420"/>
    <d v="2021-01-07T00:00:00"/>
    <n v="2021"/>
    <x v="0"/>
    <x v="7"/>
    <x v="0"/>
    <n v="376"/>
    <n v="15"/>
    <s v="Mixed results"/>
    <n v="0"/>
    <n v="0"/>
    <n v="-5.8"/>
  </r>
  <r>
    <s v="NCT00000412"/>
    <d v="2021-09-07T00:00:00"/>
    <n v="2021"/>
    <x v="9"/>
    <x v="2"/>
    <x v="0"/>
    <n v="367"/>
    <n v="21"/>
    <s v="Failed primary endpoint"/>
    <n v="0"/>
    <n v="1"/>
    <n v="-19.5"/>
  </r>
  <r>
    <s v="NCT00000408"/>
    <s v="13-07-2021"/>
    <n v="2021"/>
    <x v="11"/>
    <x v="2"/>
    <x v="0"/>
    <n v="66"/>
    <n v="16"/>
    <s v="Mixed results"/>
    <n v="0"/>
    <n v="0"/>
    <n v="-0.6"/>
  </r>
  <r>
    <s v="NCT00000395"/>
    <d v="2021-03-08T00:00:00"/>
    <n v="2021"/>
    <x v="4"/>
    <x v="2"/>
    <x v="0"/>
    <n v="248"/>
    <n v="12"/>
    <s v="Failed primary endpoint"/>
    <n v="0"/>
    <n v="1"/>
    <n v="-13.8"/>
  </r>
  <r>
    <s v="NCT00000417"/>
    <s v="13-08-2021"/>
    <n v="2021"/>
    <x v="0"/>
    <x v="2"/>
    <x v="0"/>
    <n v="241"/>
    <n v="19"/>
    <s v="Met primary endpoint"/>
    <n v="1"/>
    <n v="0"/>
    <n v="11.3"/>
  </r>
  <r>
    <s v="NCT00000428"/>
    <s v="20-08-2021"/>
    <n v="2021"/>
    <x v="2"/>
    <x v="1"/>
    <x v="0"/>
    <n v="589"/>
    <n v="15"/>
    <s v="Mixed results"/>
    <n v="0"/>
    <n v="0"/>
    <n v="-0.9"/>
  </r>
  <r>
    <s v="NCT00000407"/>
    <s v="27-08-2021"/>
    <n v="2021"/>
    <x v="2"/>
    <x v="2"/>
    <x v="0"/>
    <n v="112"/>
    <n v="21"/>
    <s v="Met primary endpoint"/>
    <n v="1"/>
    <n v="0"/>
    <n v="2.4"/>
  </r>
  <r>
    <s v="NCT00000399"/>
    <d v="2021-09-09T00:00:00"/>
    <n v="2021"/>
    <x v="8"/>
    <x v="4"/>
    <x v="0"/>
    <n v="320"/>
    <n v="18"/>
    <s v="Met primary endpoint"/>
    <n v="1"/>
    <n v="0"/>
    <n v="8.1"/>
  </r>
  <r>
    <s v="NCT00000403"/>
    <s v="14-09-2021"/>
    <n v="2021"/>
    <x v="12"/>
    <x v="5"/>
    <x v="0"/>
    <n v="135"/>
    <n v="16"/>
    <s v="Met primary endpoint"/>
    <n v="1"/>
    <n v="0"/>
    <n v="5.0999999999999996"/>
  </r>
  <r>
    <s v="NCT00000416"/>
    <s v="26-09-2021"/>
    <n v="2021"/>
    <x v="20"/>
    <x v="4"/>
    <x v="0"/>
    <n v="394"/>
    <n v="22"/>
    <s v="Met primary endpoint"/>
    <n v="1"/>
    <n v="0"/>
    <n v="6.4"/>
  </r>
  <r>
    <s v="NCT00000410"/>
    <s v="18-10-2021"/>
    <n v="2021"/>
    <x v="3"/>
    <x v="2"/>
    <x v="1"/>
    <n v="1252"/>
    <n v="36"/>
    <s v="Met primary endpoint"/>
    <n v="1"/>
    <n v="0"/>
    <n v="1.2"/>
  </r>
  <r>
    <s v="NCT00000398"/>
    <s v="24-10-2021"/>
    <n v="2021"/>
    <x v="4"/>
    <x v="9"/>
    <x v="0"/>
    <n v="167"/>
    <n v="13"/>
    <s v="Met primary endpoint"/>
    <n v="1"/>
    <n v="0"/>
    <n v="-3.2"/>
  </r>
  <r>
    <s v="NCT00000401"/>
    <d v="2021-01-11T00:00:00"/>
    <n v="2021"/>
    <x v="0"/>
    <x v="5"/>
    <x v="0"/>
    <n v="190"/>
    <n v="15"/>
    <s v="Failed primary endpoint"/>
    <n v="0"/>
    <n v="1"/>
    <n v="-20"/>
  </r>
  <r>
    <s v="NCT00000422"/>
    <d v="2021-02-11T00:00:00"/>
    <n v="2021"/>
    <x v="9"/>
    <x v="2"/>
    <x v="0"/>
    <n v="244"/>
    <n v="15"/>
    <s v="Failed primary endpoint"/>
    <n v="0"/>
    <n v="1"/>
    <n v="-20.100000000000001"/>
  </r>
  <r>
    <s v="NCT00000397"/>
    <d v="2021-04-11T00:00:00"/>
    <n v="2021"/>
    <x v="2"/>
    <x v="3"/>
    <x v="0"/>
    <n v="149"/>
    <n v="10"/>
    <s v="Met primary endpoint"/>
    <n v="1"/>
    <n v="0"/>
    <n v="9.5"/>
  </r>
  <r>
    <s v="NCT00000431"/>
    <d v="2021-06-11T00:00:00"/>
    <n v="2021"/>
    <x v="8"/>
    <x v="4"/>
    <x v="1"/>
    <n v="1187"/>
    <n v="33"/>
    <s v="Met primary endpoint"/>
    <n v="1"/>
    <n v="0"/>
    <n v="-0.3"/>
  </r>
  <r>
    <s v="NCT00000394"/>
    <s v="17-11-2021"/>
    <n v="2021"/>
    <x v="12"/>
    <x v="2"/>
    <x v="0"/>
    <n v="405"/>
    <n v="24"/>
    <s v="Met primary endpoint"/>
    <n v="1"/>
    <n v="0"/>
    <n v="5.5"/>
  </r>
  <r>
    <s v="NCT00000429"/>
    <d v="2021-06-12T00:00:00"/>
    <n v="2021"/>
    <x v="18"/>
    <x v="9"/>
    <x v="0"/>
    <n v="301"/>
    <n v="16"/>
    <s v="Met primary endpoint"/>
    <n v="1"/>
    <n v="0"/>
    <n v="11.7"/>
  </r>
  <r>
    <s v="NCT00000447"/>
    <d v="2022-01-02T00:00:00"/>
    <n v="2022"/>
    <x v="6"/>
    <x v="7"/>
    <x v="1"/>
    <n v="317"/>
    <n v="42"/>
    <s v="Met primary endpoint"/>
    <n v="1"/>
    <n v="0"/>
    <n v="-0.4"/>
  </r>
  <r>
    <s v="NCT00000438"/>
    <d v="2022-07-02T00:00:00"/>
    <n v="2022"/>
    <x v="8"/>
    <x v="7"/>
    <x v="1"/>
    <n v="775"/>
    <n v="34"/>
    <s v="Mixed results"/>
    <n v="0"/>
    <n v="0"/>
    <n v="4"/>
  </r>
  <r>
    <s v="NCT00000468"/>
    <d v="2022-08-02T00:00:00"/>
    <n v="2022"/>
    <x v="0"/>
    <x v="2"/>
    <x v="1"/>
    <n v="1919"/>
    <n v="30"/>
    <s v="Failed primary endpoint"/>
    <n v="0"/>
    <n v="1"/>
    <n v="-18"/>
  </r>
  <r>
    <s v="NCT00000461"/>
    <d v="2022-09-02T00:00:00"/>
    <n v="2022"/>
    <x v="20"/>
    <x v="2"/>
    <x v="1"/>
    <n v="2360"/>
    <n v="38"/>
    <s v="Failed primary endpoint"/>
    <n v="0"/>
    <n v="1"/>
    <n v="-6.1"/>
  </r>
  <r>
    <s v="NCT00000465"/>
    <s v="14-02-2022"/>
    <n v="2022"/>
    <x v="9"/>
    <x v="1"/>
    <x v="0"/>
    <n v="268"/>
    <n v="24"/>
    <s v="Met primary endpoint"/>
    <n v="1"/>
    <n v="0"/>
    <n v="2"/>
  </r>
  <r>
    <s v="NCT00000449"/>
    <s v="16-02-2022"/>
    <n v="2022"/>
    <x v="3"/>
    <x v="2"/>
    <x v="0"/>
    <n v="125"/>
    <n v="17"/>
    <s v="Met primary endpoint"/>
    <n v="1"/>
    <n v="0"/>
    <n v="9.6"/>
  </r>
  <r>
    <s v="NCT00000464"/>
    <s v="24-02-2022"/>
    <n v="2022"/>
    <x v="16"/>
    <x v="3"/>
    <x v="0"/>
    <n v="200"/>
    <n v="20"/>
    <s v="Met primary endpoint"/>
    <n v="1"/>
    <n v="0"/>
    <n v="17.399999999999999"/>
  </r>
  <r>
    <s v="NCT00000442"/>
    <s v="24-02-2022"/>
    <n v="2022"/>
    <x v="17"/>
    <x v="5"/>
    <x v="0"/>
    <n v="141"/>
    <n v="21"/>
    <s v="Met primary endpoint"/>
    <n v="1"/>
    <n v="0"/>
    <n v="6.9"/>
  </r>
  <r>
    <s v="NCT00000450"/>
    <s v="27-02-2022"/>
    <n v="2022"/>
    <x v="10"/>
    <x v="1"/>
    <x v="1"/>
    <n v="766"/>
    <n v="38"/>
    <s v="Mixed results"/>
    <n v="0"/>
    <n v="0"/>
    <n v="-11"/>
  </r>
  <r>
    <s v="NCT00000445"/>
    <d v="2022-08-03T00:00:00"/>
    <n v="2022"/>
    <x v="11"/>
    <x v="4"/>
    <x v="0"/>
    <n v="236"/>
    <n v="24"/>
    <s v="Met primary endpoint"/>
    <n v="1"/>
    <n v="0"/>
    <n v="-4.5999999999999996"/>
  </r>
  <r>
    <s v="NCT00000434"/>
    <s v="22-03-2022"/>
    <n v="2022"/>
    <x v="2"/>
    <x v="2"/>
    <x v="1"/>
    <n v="539"/>
    <n v="45"/>
    <s v="Failed primary endpoint"/>
    <n v="0"/>
    <n v="1"/>
    <n v="-19.3"/>
  </r>
  <r>
    <s v="NCT00000448"/>
    <d v="2022-05-04T00:00:00"/>
    <n v="2022"/>
    <x v="2"/>
    <x v="3"/>
    <x v="0"/>
    <n v="628"/>
    <n v="24"/>
    <s v="Mixed results"/>
    <n v="0"/>
    <n v="0"/>
    <n v="-9.1999999999999993"/>
  </r>
  <r>
    <s v="NCT00000471"/>
    <s v="20-04-2022"/>
    <n v="2022"/>
    <x v="14"/>
    <x v="7"/>
    <x v="0"/>
    <n v="223"/>
    <n v="15"/>
    <s v="Mixed results"/>
    <n v="0"/>
    <n v="0"/>
    <n v="-7.1"/>
  </r>
  <r>
    <s v="NCT00000435"/>
    <d v="2022-02-05T00:00:00"/>
    <n v="2022"/>
    <x v="15"/>
    <x v="3"/>
    <x v="1"/>
    <n v="2536"/>
    <n v="41"/>
    <s v="Mixed results"/>
    <n v="0"/>
    <n v="0"/>
    <n v="-3.1"/>
  </r>
  <r>
    <s v="NCT00000439"/>
    <d v="2022-05-05T00:00:00"/>
    <n v="2022"/>
    <x v="7"/>
    <x v="3"/>
    <x v="1"/>
    <n v="1870"/>
    <n v="43"/>
    <s v="Mixed results"/>
    <n v="0"/>
    <n v="0"/>
    <n v="2.1"/>
  </r>
  <r>
    <s v="NCT00000453"/>
    <d v="2022-07-05T00:00:00"/>
    <n v="2022"/>
    <x v="2"/>
    <x v="1"/>
    <x v="1"/>
    <n v="560"/>
    <n v="36"/>
    <s v="Met primary endpoint"/>
    <n v="1"/>
    <n v="0"/>
    <n v="8.5"/>
  </r>
  <r>
    <s v="NCT00000437"/>
    <s v="15-05-2022"/>
    <n v="2022"/>
    <x v="2"/>
    <x v="1"/>
    <x v="1"/>
    <n v="1050"/>
    <n v="29"/>
    <s v="Met primary endpoint"/>
    <n v="1"/>
    <n v="0"/>
    <n v="5.5"/>
  </r>
  <r>
    <s v="NCT00000460"/>
    <d v="2022-04-06T00:00:00"/>
    <n v="2022"/>
    <x v="10"/>
    <x v="3"/>
    <x v="1"/>
    <n v="1438"/>
    <n v="33"/>
    <s v="Mixed results"/>
    <n v="0"/>
    <n v="0"/>
    <n v="-1.1000000000000001"/>
  </r>
  <r>
    <s v="NCT00000441"/>
    <d v="2022-04-06T00:00:00"/>
    <n v="2022"/>
    <x v="4"/>
    <x v="7"/>
    <x v="1"/>
    <n v="433"/>
    <n v="28"/>
    <s v="Mixed results"/>
    <n v="0"/>
    <n v="0"/>
    <n v="0.1"/>
  </r>
  <r>
    <s v="NCT00000452"/>
    <d v="2022-05-06T00:00:00"/>
    <n v="2022"/>
    <x v="15"/>
    <x v="5"/>
    <x v="0"/>
    <n v="245"/>
    <n v="23"/>
    <s v="Met primary endpoint"/>
    <n v="1"/>
    <n v="0"/>
    <n v="15.1"/>
  </r>
  <r>
    <s v="NCT00000470"/>
    <d v="2022-12-06T00:00:00"/>
    <n v="2022"/>
    <x v="14"/>
    <x v="7"/>
    <x v="1"/>
    <n v="1567"/>
    <n v="41"/>
    <s v="Met primary endpoint"/>
    <n v="1"/>
    <n v="0"/>
    <n v="7.8"/>
  </r>
  <r>
    <s v="NCT00000458"/>
    <s v="13-06-2022"/>
    <n v="2022"/>
    <x v="12"/>
    <x v="4"/>
    <x v="1"/>
    <n v="781"/>
    <n v="39"/>
    <s v="Met primary endpoint"/>
    <n v="1"/>
    <n v="0"/>
    <n v="3"/>
  </r>
  <r>
    <s v="NCT00000472"/>
    <s v="14-06-2022"/>
    <n v="2022"/>
    <x v="2"/>
    <x v="4"/>
    <x v="1"/>
    <n v="1368"/>
    <n v="42"/>
    <s v="Met primary endpoint"/>
    <n v="1"/>
    <n v="0"/>
    <n v="-1"/>
  </r>
  <r>
    <s v="NCT00000469"/>
    <s v="24-06-2022"/>
    <n v="2022"/>
    <x v="19"/>
    <x v="7"/>
    <x v="0"/>
    <n v="298"/>
    <n v="6"/>
    <s v="Met primary endpoint"/>
    <n v="1"/>
    <n v="0"/>
    <n v="3.9"/>
  </r>
  <r>
    <s v="NCT00000433"/>
    <s v="15-07-2022"/>
    <n v="2022"/>
    <x v="14"/>
    <x v="6"/>
    <x v="0"/>
    <n v="308"/>
    <n v="10"/>
    <s v="Mixed results"/>
    <n v="0"/>
    <n v="0"/>
    <n v="1.9"/>
  </r>
  <r>
    <s v="NCT00000466"/>
    <s v="23-07-2022"/>
    <n v="2022"/>
    <x v="13"/>
    <x v="8"/>
    <x v="0"/>
    <n v="238"/>
    <n v="26"/>
    <s v="Met primary endpoint"/>
    <n v="1"/>
    <n v="0"/>
    <n v="5.8"/>
  </r>
  <r>
    <s v="NCT00000443"/>
    <d v="2022-01-08T00:00:00"/>
    <n v="2022"/>
    <x v="10"/>
    <x v="7"/>
    <x v="0"/>
    <n v="244"/>
    <n v="15"/>
    <s v="Met primary endpoint"/>
    <n v="1"/>
    <n v="0"/>
    <n v="11.5"/>
  </r>
  <r>
    <s v="NCT00000467"/>
    <s v="21-08-2022"/>
    <n v="2022"/>
    <x v="12"/>
    <x v="5"/>
    <x v="1"/>
    <n v="1493"/>
    <n v="27"/>
    <s v="Met primary endpoint"/>
    <n v="1"/>
    <n v="0"/>
    <n v="10.1"/>
  </r>
  <r>
    <s v="NCT00000436"/>
    <d v="2022-01-09T00:00:00"/>
    <n v="2022"/>
    <x v="19"/>
    <x v="4"/>
    <x v="1"/>
    <n v="1019"/>
    <n v="29"/>
    <s v="Met primary endpoint"/>
    <n v="1"/>
    <n v="0"/>
    <n v="10.7"/>
  </r>
  <r>
    <s v="NCT00000446"/>
    <s v="13-09-2022"/>
    <n v="2022"/>
    <x v="12"/>
    <x v="8"/>
    <x v="1"/>
    <n v="2189"/>
    <n v="43"/>
    <s v="Met primary endpoint"/>
    <n v="1"/>
    <n v="0"/>
    <n v="5.9"/>
  </r>
  <r>
    <s v="NCT00000462"/>
    <s v="24-09-2022"/>
    <n v="2022"/>
    <x v="0"/>
    <x v="2"/>
    <x v="0"/>
    <n v="155"/>
    <n v="22"/>
    <s v="Failed primary endpoint"/>
    <n v="0"/>
    <n v="1"/>
    <n v="-31.7"/>
  </r>
  <r>
    <s v="NCT00000455"/>
    <d v="2022-01-10T00:00:00"/>
    <n v="2022"/>
    <x v="6"/>
    <x v="2"/>
    <x v="1"/>
    <n v="860"/>
    <n v="36"/>
    <s v="Failed primary endpoint"/>
    <n v="0"/>
    <n v="1"/>
    <n v="-17"/>
  </r>
  <r>
    <s v="NCT00000459"/>
    <d v="2022-09-10T00:00:00"/>
    <n v="2022"/>
    <x v="5"/>
    <x v="2"/>
    <x v="1"/>
    <n v="1830"/>
    <n v="56"/>
    <s v="Failed primary endpoint"/>
    <n v="0"/>
    <n v="1"/>
    <n v="-16.899999999999999"/>
  </r>
  <r>
    <s v="NCT00000451"/>
    <s v="18-10-2022"/>
    <n v="2022"/>
    <x v="2"/>
    <x v="0"/>
    <x v="0"/>
    <n v="176"/>
    <n v="6"/>
    <s v="Failed primary endpoint"/>
    <n v="0"/>
    <n v="1"/>
    <n v="-2.2000000000000002"/>
  </r>
  <r>
    <s v="NCT00000454"/>
    <s v="21-10-2022"/>
    <n v="2022"/>
    <x v="1"/>
    <x v="6"/>
    <x v="1"/>
    <n v="399"/>
    <n v="45"/>
    <s v="Met primary endpoint"/>
    <n v="1"/>
    <n v="0"/>
    <n v="-4.7"/>
  </r>
  <r>
    <s v="NCT00000457"/>
    <d v="2022-03-11T00:00:00"/>
    <n v="2022"/>
    <x v="3"/>
    <x v="5"/>
    <x v="0"/>
    <n v="815"/>
    <n v="26"/>
    <s v="Met primary endpoint"/>
    <n v="1"/>
    <n v="0"/>
    <n v="8.1999999999999993"/>
  </r>
  <r>
    <s v="NCT00000440"/>
    <d v="2022-11-11T00:00:00"/>
    <n v="2022"/>
    <x v="18"/>
    <x v="6"/>
    <x v="0"/>
    <n v="551"/>
    <n v="19"/>
    <s v="Met primary endpoint"/>
    <n v="1"/>
    <n v="0"/>
    <n v="10.8"/>
  </r>
  <r>
    <s v="NCT00000456"/>
    <d v="2022-02-12T00:00:00"/>
    <n v="2022"/>
    <x v="3"/>
    <x v="1"/>
    <x v="1"/>
    <n v="2187"/>
    <n v="29"/>
    <s v="Met primary endpoint"/>
    <n v="1"/>
    <n v="0"/>
    <n v="10.199999999999999"/>
  </r>
  <r>
    <s v="NCT00000444"/>
    <d v="2022-04-12T00:00:00"/>
    <n v="2022"/>
    <x v="6"/>
    <x v="0"/>
    <x v="1"/>
    <n v="2887"/>
    <n v="42"/>
    <s v="Failed primary endpoint"/>
    <n v="0"/>
    <n v="1"/>
    <n v="-18.3"/>
  </r>
  <r>
    <s v="NCT00000463"/>
    <d v="2022-06-12T00:00:00"/>
    <n v="2022"/>
    <x v="7"/>
    <x v="2"/>
    <x v="1"/>
    <n v="575"/>
    <n v="32"/>
    <s v="Failed primary endpoint"/>
    <n v="0"/>
    <n v="1"/>
    <n v="-19.3"/>
  </r>
  <r>
    <s v="NCT00000496"/>
    <s v="18-01-2023"/>
    <n v="2023"/>
    <x v="9"/>
    <x v="5"/>
    <x v="1"/>
    <n v="356"/>
    <n v="27"/>
    <s v="Met primary endpoint"/>
    <n v="1"/>
    <n v="0"/>
    <n v="12"/>
  </r>
  <r>
    <s v="NCT00000503"/>
    <s v="27-01-2023"/>
    <n v="2023"/>
    <x v="5"/>
    <x v="9"/>
    <x v="0"/>
    <n v="267"/>
    <n v="23"/>
    <s v="Met primary endpoint"/>
    <n v="1"/>
    <n v="0"/>
    <n v="6.7"/>
  </r>
  <r>
    <s v="NCT00000499"/>
    <s v="18-02-2023"/>
    <n v="2023"/>
    <x v="12"/>
    <x v="2"/>
    <x v="0"/>
    <n v="175"/>
    <n v="15"/>
    <s v="Mixed results"/>
    <n v="0"/>
    <n v="0"/>
    <n v="-3.8"/>
  </r>
  <r>
    <s v="NCT00000495"/>
    <s v="26-02-2023"/>
    <n v="2023"/>
    <x v="9"/>
    <x v="7"/>
    <x v="1"/>
    <n v="949"/>
    <n v="40"/>
    <s v="Met primary endpoint"/>
    <n v="1"/>
    <n v="0"/>
    <n v="2.9"/>
  </r>
  <r>
    <s v="NCT00000500"/>
    <d v="2023-04-03T00:00:00"/>
    <n v="2023"/>
    <x v="5"/>
    <x v="2"/>
    <x v="1"/>
    <n v="1406"/>
    <n v="33"/>
    <s v="Failed primary endpoint"/>
    <n v="0"/>
    <n v="1"/>
    <n v="0.9"/>
  </r>
  <r>
    <s v="NCT00000484"/>
    <s v="26-03-2023"/>
    <n v="2023"/>
    <x v="7"/>
    <x v="3"/>
    <x v="0"/>
    <n v="259"/>
    <n v="29"/>
    <s v="Met primary endpoint"/>
    <n v="1"/>
    <n v="0"/>
    <n v="10.199999999999999"/>
  </r>
  <r>
    <s v="NCT00000498"/>
    <s v="19-04-2023"/>
    <n v="2023"/>
    <x v="7"/>
    <x v="3"/>
    <x v="1"/>
    <n v="1147"/>
    <n v="30"/>
    <s v="Failed primary endpoint"/>
    <n v="0"/>
    <n v="1"/>
    <n v="-34.4"/>
  </r>
  <r>
    <s v="NCT00000511"/>
    <s v="25-04-2023"/>
    <n v="2023"/>
    <x v="20"/>
    <x v="0"/>
    <x v="0"/>
    <n v="127"/>
    <n v="12"/>
    <s v="Mixed results"/>
    <n v="0"/>
    <n v="0"/>
    <n v="-7.6"/>
  </r>
  <r>
    <s v="NCT00000507"/>
    <d v="2023-08-05T00:00:00"/>
    <n v="2023"/>
    <x v="9"/>
    <x v="0"/>
    <x v="0"/>
    <n v="380"/>
    <n v="14"/>
    <s v="Met primary endpoint"/>
    <n v="1"/>
    <n v="0"/>
    <n v="3.8"/>
  </r>
  <r>
    <s v="NCT00000476"/>
    <d v="2023-12-05T00:00:00"/>
    <n v="2023"/>
    <x v="1"/>
    <x v="0"/>
    <x v="1"/>
    <n v="808"/>
    <n v="50"/>
    <s v="Failed primary endpoint"/>
    <n v="0"/>
    <n v="1"/>
    <n v="-13"/>
  </r>
  <r>
    <s v="NCT00000478"/>
    <s v="16-05-2023"/>
    <n v="2023"/>
    <x v="0"/>
    <x v="9"/>
    <x v="1"/>
    <n v="933"/>
    <n v="41"/>
    <s v="Failed primary endpoint"/>
    <n v="0"/>
    <n v="1"/>
    <n v="-21.2"/>
  </r>
  <r>
    <s v="NCT00000474"/>
    <s v="19-05-2023"/>
    <n v="2023"/>
    <x v="1"/>
    <x v="1"/>
    <x v="1"/>
    <n v="753"/>
    <n v="43"/>
    <s v="Failed primary endpoint"/>
    <n v="0"/>
    <n v="1"/>
    <n v="1.8"/>
  </r>
  <r>
    <s v="NCT00000489"/>
    <s v="27-05-2023"/>
    <n v="2023"/>
    <x v="18"/>
    <x v="5"/>
    <x v="0"/>
    <n v="138"/>
    <n v="17"/>
    <s v="Failed primary endpoint"/>
    <n v="0"/>
    <n v="1"/>
    <n v="-15.6"/>
  </r>
  <r>
    <s v="NCT00000504"/>
    <d v="2023-03-06T00:00:00"/>
    <n v="2023"/>
    <x v="13"/>
    <x v="8"/>
    <x v="1"/>
    <n v="1847"/>
    <n v="39"/>
    <s v="Failed primary endpoint"/>
    <n v="0"/>
    <n v="1"/>
    <n v="-27"/>
  </r>
  <r>
    <s v="NCT00000506"/>
    <s v="14-06-2023"/>
    <n v="2023"/>
    <x v="16"/>
    <x v="0"/>
    <x v="1"/>
    <n v="1186"/>
    <n v="51"/>
    <s v="Failed primary endpoint"/>
    <n v="0"/>
    <n v="1"/>
    <n v="-23.6"/>
  </r>
  <r>
    <s v="NCT00000505"/>
    <s v="15-06-2023"/>
    <n v="2023"/>
    <x v="4"/>
    <x v="0"/>
    <x v="0"/>
    <n v="172"/>
    <n v="20"/>
    <s v="Failed primary endpoint"/>
    <n v="0"/>
    <n v="1"/>
    <n v="-12.4"/>
  </r>
  <r>
    <s v="NCT00000477"/>
    <s v="27-06-2023"/>
    <n v="2023"/>
    <x v="1"/>
    <x v="7"/>
    <x v="1"/>
    <n v="403"/>
    <n v="33"/>
    <s v="Mixed results"/>
    <n v="0"/>
    <n v="0"/>
    <n v="1"/>
  </r>
  <r>
    <s v="NCT00000493"/>
    <d v="2023-03-07T00:00:00"/>
    <n v="2023"/>
    <x v="9"/>
    <x v="7"/>
    <x v="0"/>
    <n v="154"/>
    <n v="21"/>
    <s v="Met primary endpoint"/>
    <n v="1"/>
    <n v="0"/>
    <n v="13.2"/>
  </r>
  <r>
    <s v="NCT00000482"/>
    <d v="2023-04-07T00:00:00"/>
    <n v="2023"/>
    <x v="17"/>
    <x v="0"/>
    <x v="1"/>
    <n v="466"/>
    <n v="43"/>
    <s v="Failed primary endpoint"/>
    <n v="0"/>
    <n v="1"/>
    <n v="5.9"/>
  </r>
  <r>
    <s v="NCT00000501"/>
    <d v="2023-01-08T00:00:00"/>
    <n v="2023"/>
    <x v="14"/>
    <x v="2"/>
    <x v="1"/>
    <n v="1383"/>
    <n v="32"/>
    <s v="Mixed results"/>
    <n v="0"/>
    <n v="0"/>
    <n v="-8"/>
  </r>
  <r>
    <s v="NCT00000502"/>
    <d v="2023-04-08T00:00:00"/>
    <n v="2023"/>
    <x v="19"/>
    <x v="3"/>
    <x v="0"/>
    <n v="357"/>
    <n v="26"/>
    <s v="Met primary endpoint"/>
    <n v="1"/>
    <n v="0"/>
    <n v="0"/>
  </r>
  <r>
    <s v="NCT00000486"/>
    <d v="2023-06-08T00:00:00"/>
    <n v="2023"/>
    <x v="10"/>
    <x v="2"/>
    <x v="1"/>
    <n v="953"/>
    <n v="35"/>
    <s v="Failed primary endpoint"/>
    <n v="0"/>
    <n v="1"/>
    <n v="-19.899999999999999"/>
  </r>
  <r>
    <s v="NCT00000480"/>
    <d v="2023-10-09T00:00:00"/>
    <n v="2023"/>
    <x v="7"/>
    <x v="2"/>
    <x v="1"/>
    <n v="616"/>
    <n v="34"/>
    <s v="Failed primary endpoint"/>
    <n v="0"/>
    <n v="1"/>
    <n v="-12.4"/>
  </r>
  <r>
    <s v="NCT00000485"/>
    <d v="2023-11-09T00:00:00"/>
    <n v="2023"/>
    <x v="17"/>
    <x v="5"/>
    <x v="0"/>
    <n v="225"/>
    <n v="19"/>
    <s v="Mixed results"/>
    <n v="0"/>
    <n v="0"/>
    <n v="-0.1"/>
  </r>
  <r>
    <s v="NCT00000492"/>
    <s v="18-09-2023"/>
    <n v="2023"/>
    <x v="13"/>
    <x v="7"/>
    <x v="0"/>
    <n v="270"/>
    <n v="7"/>
    <s v="Met primary endpoint"/>
    <n v="1"/>
    <n v="0"/>
    <n v="4.5999999999999996"/>
  </r>
  <r>
    <s v="NCT00000508"/>
    <s v="20-09-2023"/>
    <n v="2023"/>
    <x v="18"/>
    <x v="5"/>
    <x v="1"/>
    <n v="437"/>
    <n v="29"/>
    <s v="Failed primary endpoint"/>
    <n v="0"/>
    <n v="1"/>
    <n v="0.2"/>
  </r>
  <r>
    <s v="NCT00000479"/>
    <s v="21-09-2023"/>
    <n v="2023"/>
    <x v="6"/>
    <x v="7"/>
    <x v="1"/>
    <n v="917"/>
    <n v="27"/>
    <s v="Met primary endpoint"/>
    <n v="1"/>
    <n v="0"/>
    <n v="-1.3"/>
  </r>
  <r>
    <s v="NCT00000473"/>
    <s v="22-09-2023"/>
    <n v="2023"/>
    <x v="9"/>
    <x v="2"/>
    <x v="0"/>
    <n v="256"/>
    <n v="16"/>
    <s v="Mixed results"/>
    <n v="0"/>
    <n v="0"/>
    <n v="-2"/>
  </r>
  <r>
    <s v="NCT00000509"/>
    <s v="13-10-2023"/>
    <n v="2023"/>
    <x v="14"/>
    <x v="1"/>
    <x v="1"/>
    <n v="974"/>
    <n v="34"/>
    <s v="Met primary endpoint"/>
    <n v="1"/>
    <n v="0"/>
    <n v="3"/>
  </r>
  <r>
    <s v="NCT00000475"/>
    <s v="15-10-2023"/>
    <n v="2023"/>
    <x v="19"/>
    <x v="2"/>
    <x v="1"/>
    <n v="1453"/>
    <n v="30"/>
    <s v="Met primary endpoint"/>
    <n v="1"/>
    <n v="0"/>
    <n v="16.3"/>
  </r>
  <r>
    <s v="NCT00000494"/>
    <s v="24-10-2023"/>
    <n v="2023"/>
    <x v="13"/>
    <x v="4"/>
    <x v="0"/>
    <n v="229"/>
    <n v="17"/>
    <s v="Failed primary endpoint"/>
    <n v="0"/>
    <n v="1"/>
    <n v="-14.6"/>
  </r>
  <r>
    <s v="NCT00000481"/>
    <d v="2023-12-11T00:00:00"/>
    <n v="2023"/>
    <x v="0"/>
    <x v="2"/>
    <x v="0"/>
    <n v="47"/>
    <n v="15"/>
    <s v="Mixed results"/>
    <n v="0"/>
    <n v="0"/>
    <n v="1.6"/>
  </r>
  <r>
    <s v="NCT00000513"/>
    <s v="15-11-2023"/>
    <n v="2023"/>
    <x v="10"/>
    <x v="4"/>
    <x v="1"/>
    <n v="552"/>
    <n v="28"/>
    <s v="Met primary endpoint"/>
    <n v="1"/>
    <n v="0"/>
    <n v="0.8"/>
  </r>
  <r>
    <s v="NCT00000491"/>
    <s v="19-11-2023"/>
    <n v="2023"/>
    <x v="9"/>
    <x v="2"/>
    <x v="0"/>
    <n v="100"/>
    <n v="26"/>
    <s v="Met primary endpoint"/>
    <n v="1"/>
    <n v="0"/>
    <n v="10.6"/>
  </r>
  <r>
    <s v="NCT00000512"/>
    <s v="22-11-2023"/>
    <n v="2023"/>
    <x v="1"/>
    <x v="2"/>
    <x v="1"/>
    <n v="685"/>
    <n v="30"/>
    <s v="Failed primary endpoint"/>
    <n v="0"/>
    <n v="1"/>
    <n v="-8"/>
  </r>
  <r>
    <s v="NCT00000483"/>
    <s v="26-11-2023"/>
    <n v="2023"/>
    <x v="3"/>
    <x v="7"/>
    <x v="0"/>
    <n v="154"/>
    <n v="16"/>
    <s v="Mixed results"/>
    <n v="0"/>
    <n v="0"/>
    <n v="-2.2000000000000002"/>
  </r>
  <r>
    <s v="NCT00000488"/>
    <d v="2023-03-12T00:00:00"/>
    <n v="2023"/>
    <x v="13"/>
    <x v="2"/>
    <x v="0"/>
    <n v="249"/>
    <n v="26"/>
    <s v="Failed primary endpoint"/>
    <n v="0"/>
    <n v="1"/>
    <n v="-9.3000000000000007"/>
  </r>
  <r>
    <s v="NCT00000497"/>
    <d v="2023-06-12T00:00:00"/>
    <n v="2023"/>
    <x v="9"/>
    <x v="6"/>
    <x v="1"/>
    <n v="358"/>
    <n v="36"/>
    <s v="Met primary endpoint"/>
    <n v="1"/>
    <n v="0"/>
    <n v="9.8000000000000007"/>
  </r>
  <r>
    <s v="NCT00000487"/>
    <d v="2023-11-12T00:00:00"/>
    <n v="2023"/>
    <x v="0"/>
    <x v="2"/>
    <x v="0"/>
    <n v="342"/>
    <n v="12"/>
    <s v="Mixed results"/>
    <n v="0"/>
    <n v="0"/>
    <n v="-0.5"/>
  </r>
  <r>
    <s v="NCT00000510"/>
    <s v="16-12-2023"/>
    <n v="2023"/>
    <x v="3"/>
    <x v="1"/>
    <x v="1"/>
    <n v="957"/>
    <n v="40"/>
    <s v="Mixed results"/>
    <n v="0"/>
    <n v="0"/>
    <n v="-4.3"/>
  </r>
  <r>
    <s v="NCT00000490"/>
    <s v="18-12-2023"/>
    <n v="2023"/>
    <x v="3"/>
    <x v="0"/>
    <x v="1"/>
    <n v="984"/>
    <n v="30"/>
    <s v="Failed primary endpoint"/>
    <n v="0"/>
    <n v="1"/>
    <n v="-4"/>
  </r>
  <r>
    <s v="NCT00000521"/>
    <d v="2024-03-01T00:00:00"/>
    <n v="2024"/>
    <x v="1"/>
    <x v="3"/>
    <x v="1"/>
    <n v="697"/>
    <n v="28"/>
    <s v="Met primary endpoint"/>
    <n v="1"/>
    <n v="0"/>
    <n v="-2.1"/>
  </r>
  <r>
    <s v="NCT00000522"/>
    <d v="2024-07-01T00:00:00"/>
    <n v="2024"/>
    <x v="18"/>
    <x v="2"/>
    <x v="1"/>
    <n v="2130"/>
    <n v="37"/>
    <s v="Met primary endpoint"/>
    <n v="1"/>
    <n v="0"/>
    <n v="7.8"/>
  </r>
  <r>
    <s v="NCT00000539"/>
    <s v="13-01-2024"/>
    <n v="2024"/>
    <x v="8"/>
    <x v="2"/>
    <x v="1"/>
    <n v="1098"/>
    <n v="39"/>
    <s v="Failed primary endpoint"/>
    <n v="0"/>
    <n v="1"/>
    <n v="-13.3"/>
  </r>
  <r>
    <s v="NCT00000541"/>
    <s v="25-01-2024"/>
    <n v="2024"/>
    <x v="5"/>
    <x v="7"/>
    <x v="0"/>
    <n v="394"/>
    <n v="9"/>
    <s v="Met primary endpoint"/>
    <n v="1"/>
    <n v="0"/>
    <n v="1.6"/>
  </r>
  <r>
    <s v="NCT00000517"/>
    <d v="2024-01-02T00:00:00"/>
    <n v="2024"/>
    <x v="12"/>
    <x v="0"/>
    <x v="0"/>
    <n v="145"/>
    <n v="19"/>
    <s v="Failed primary endpoint"/>
    <n v="0"/>
    <n v="1"/>
    <n v="-8.5"/>
  </r>
  <r>
    <s v="NCT00000543"/>
    <d v="2024-07-02T00:00:00"/>
    <n v="2024"/>
    <x v="18"/>
    <x v="1"/>
    <x v="0"/>
    <n v="239"/>
    <n v="18"/>
    <s v="Mixed results"/>
    <n v="0"/>
    <n v="0"/>
    <n v="2"/>
  </r>
  <r>
    <s v="NCT00000555"/>
    <s v="14-02-2024"/>
    <n v="2024"/>
    <x v="6"/>
    <x v="9"/>
    <x v="0"/>
    <n v="214"/>
    <n v="27"/>
    <s v="Met primary endpoint"/>
    <n v="1"/>
    <n v="0"/>
    <n v="10.199999999999999"/>
  </r>
  <r>
    <s v="NCT00000534"/>
    <d v="2024-01-03T00:00:00"/>
    <n v="2024"/>
    <x v="9"/>
    <x v="2"/>
    <x v="0"/>
    <n v="193"/>
    <n v="7"/>
    <s v="Failed primary endpoint"/>
    <n v="0"/>
    <n v="1"/>
    <n v="-19.399999999999999"/>
  </r>
  <r>
    <s v="NCT00000536"/>
    <d v="2024-07-03T00:00:00"/>
    <n v="2024"/>
    <x v="1"/>
    <x v="3"/>
    <x v="1"/>
    <n v="1633"/>
    <n v="40"/>
    <s v="Met primary endpoint"/>
    <n v="1"/>
    <n v="0"/>
    <n v="1.4"/>
  </r>
  <r>
    <s v="NCT00000533"/>
    <d v="2024-09-03T00:00:00"/>
    <n v="2024"/>
    <x v="3"/>
    <x v="2"/>
    <x v="0"/>
    <n v="175"/>
    <n v="13"/>
    <s v="Mixed results"/>
    <n v="0"/>
    <n v="0"/>
    <n v="-1"/>
  </r>
  <r>
    <s v="NCT00000519"/>
    <s v="14-03-2024"/>
    <n v="2024"/>
    <x v="15"/>
    <x v="2"/>
    <x v="1"/>
    <n v="618"/>
    <n v="30"/>
    <s v="Failed primary endpoint"/>
    <n v="0"/>
    <n v="1"/>
    <n v="-9.6999999999999993"/>
  </r>
  <r>
    <s v="NCT00000551"/>
    <s v="21-03-2024"/>
    <n v="2024"/>
    <x v="5"/>
    <x v="2"/>
    <x v="1"/>
    <n v="2456"/>
    <n v="31"/>
    <s v="Failed primary endpoint"/>
    <n v="0"/>
    <n v="1"/>
    <n v="-14.5"/>
  </r>
  <r>
    <s v="NCT00000527"/>
    <s v="26-03-2024"/>
    <n v="2024"/>
    <x v="11"/>
    <x v="0"/>
    <x v="0"/>
    <n v="400"/>
    <n v="24"/>
    <s v="Failed primary endpoint"/>
    <n v="0"/>
    <n v="1"/>
    <n v="-20.6"/>
  </r>
  <r>
    <s v="NCT00000516"/>
    <d v="2024-01-04T00:00:00"/>
    <n v="2024"/>
    <x v="19"/>
    <x v="5"/>
    <x v="0"/>
    <n v="119"/>
    <n v="29"/>
    <s v="Met primary endpoint"/>
    <n v="1"/>
    <n v="0"/>
    <n v="16.7"/>
  </r>
  <r>
    <s v="NCT00000514"/>
    <s v="27-04-2024"/>
    <n v="2024"/>
    <x v="3"/>
    <x v="6"/>
    <x v="1"/>
    <n v="644"/>
    <n v="38"/>
    <s v="Met primary endpoint"/>
    <n v="1"/>
    <n v="0"/>
    <n v="3.9"/>
  </r>
  <r>
    <s v="NCT00000530"/>
    <d v="2024-06-06T00:00:00"/>
    <n v="2024"/>
    <x v="6"/>
    <x v="4"/>
    <x v="0"/>
    <n v="336"/>
    <n v="16"/>
    <s v="Met primary endpoint"/>
    <n v="1"/>
    <n v="0"/>
    <n v="1.9"/>
  </r>
  <r>
    <s v="NCT00000524"/>
    <d v="2024-11-06T00:00:00"/>
    <n v="2024"/>
    <x v="18"/>
    <x v="7"/>
    <x v="1"/>
    <n v="954"/>
    <n v="41"/>
    <s v="Failed primary endpoint"/>
    <n v="0"/>
    <n v="1"/>
    <n v="-8.6"/>
  </r>
  <r>
    <s v="NCT00000542"/>
    <d v="2024-05-07T00:00:00"/>
    <n v="2024"/>
    <x v="6"/>
    <x v="4"/>
    <x v="0"/>
    <n v="348"/>
    <n v="31"/>
    <s v="Met primary endpoint"/>
    <n v="1"/>
    <n v="0"/>
    <n v="11.7"/>
  </r>
  <r>
    <s v="NCT00000546"/>
    <d v="2024-09-07T00:00:00"/>
    <n v="2024"/>
    <x v="19"/>
    <x v="9"/>
    <x v="0"/>
    <n v="433"/>
    <n v="13"/>
    <s v="Failed primary endpoint"/>
    <n v="0"/>
    <n v="1"/>
    <n v="-14.8"/>
  </r>
  <r>
    <s v="NCT00000520"/>
    <d v="2024-11-07T00:00:00"/>
    <n v="2024"/>
    <x v="6"/>
    <x v="9"/>
    <x v="1"/>
    <n v="398"/>
    <n v="40"/>
    <s v="Mixed results"/>
    <n v="0"/>
    <n v="0"/>
    <n v="-2.6"/>
  </r>
  <r>
    <s v="NCT00000532"/>
    <s v="17-07-2024"/>
    <n v="2024"/>
    <x v="2"/>
    <x v="3"/>
    <x v="1"/>
    <n v="444"/>
    <n v="39"/>
    <s v="Failed primary endpoint"/>
    <n v="0"/>
    <n v="1"/>
    <n v="-7.5"/>
  </r>
  <r>
    <s v="NCT00000528"/>
    <s v="21-07-2024"/>
    <n v="2024"/>
    <x v="11"/>
    <x v="3"/>
    <x v="1"/>
    <n v="829"/>
    <n v="33"/>
    <s v="Met primary endpoint"/>
    <n v="1"/>
    <n v="0"/>
    <n v="21.5"/>
  </r>
  <r>
    <s v="NCT00000545"/>
    <d v="2024-10-08T00:00:00"/>
    <n v="2024"/>
    <x v="16"/>
    <x v="3"/>
    <x v="1"/>
    <n v="786"/>
    <n v="38"/>
    <s v="Met primary endpoint"/>
    <n v="1"/>
    <n v="0"/>
    <n v="14.3"/>
  </r>
  <r>
    <s v="NCT00000547"/>
    <d v="2024-11-08T00:00:00"/>
    <n v="2024"/>
    <x v="4"/>
    <x v="4"/>
    <x v="0"/>
    <n v="326"/>
    <n v="24"/>
    <s v="Mixed results"/>
    <n v="0"/>
    <n v="0"/>
    <n v="1.7"/>
  </r>
  <r>
    <s v="NCT00000540"/>
    <s v="14-08-2024"/>
    <n v="2024"/>
    <x v="6"/>
    <x v="2"/>
    <x v="1"/>
    <n v="883"/>
    <n v="32"/>
    <s v="Mixed results"/>
    <n v="0"/>
    <n v="0"/>
    <n v="-3"/>
  </r>
  <r>
    <s v="NCT00000549"/>
    <s v="22-08-2024"/>
    <n v="2024"/>
    <x v="6"/>
    <x v="0"/>
    <x v="0"/>
    <n v="278"/>
    <n v="20"/>
    <s v="Failed primary endpoint"/>
    <n v="0"/>
    <n v="1"/>
    <n v="-9.6"/>
  </r>
  <r>
    <s v="NCT00000548"/>
    <d v="2024-02-09T00:00:00"/>
    <n v="2024"/>
    <x v="18"/>
    <x v="2"/>
    <x v="1"/>
    <n v="1056"/>
    <n v="46"/>
    <s v="Met primary endpoint"/>
    <n v="1"/>
    <n v="0"/>
    <n v="12.8"/>
  </r>
  <r>
    <s v="NCT00000550"/>
    <s v="21-09-2024"/>
    <n v="2024"/>
    <x v="3"/>
    <x v="3"/>
    <x v="1"/>
    <n v="962"/>
    <n v="39"/>
    <s v="Mixed results"/>
    <n v="0"/>
    <n v="0"/>
    <n v="-7.9"/>
  </r>
  <r>
    <s v="NCT00000553"/>
    <s v="21-09-2024"/>
    <n v="2024"/>
    <x v="11"/>
    <x v="2"/>
    <x v="1"/>
    <n v="448"/>
    <n v="52"/>
    <s v="Met primary endpoint"/>
    <n v="1"/>
    <n v="0"/>
    <n v="7.3"/>
  </r>
  <r>
    <s v="NCT00000544"/>
    <s v="25-09-2024"/>
    <n v="2024"/>
    <x v="4"/>
    <x v="7"/>
    <x v="1"/>
    <n v="1622"/>
    <n v="42"/>
    <s v="Failed primary endpoint"/>
    <n v="0"/>
    <n v="1"/>
    <n v="-5.5"/>
  </r>
  <r>
    <s v="NCT00000554"/>
    <d v="2024-05-10T00:00:00"/>
    <n v="2024"/>
    <x v="6"/>
    <x v="0"/>
    <x v="1"/>
    <n v="1246"/>
    <n v="24"/>
    <s v="Failed primary endpoint"/>
    <n v="0"/>
    <n v="1"/>
    <n v="-27"/>
  </r>
  <r>
    <s v="NCT00000529"/>
    <d v="2024-09-10T00:00:00"/>
    <n v="2024"/>
    <x v="5"/>
    <x v="2"/>
    <x v="1"/>
    <n v="1180"/>
    <n v="34"/>
    <s v="Failed primary endpoint"/>
    <n v="0"/>
    <n v="1"/>
    <n v="-41.2"/>
  </r>
  <r>
    <s v="NCT00000552"/>
    <s v="14-10-2024"/>
    <n v="2024"/>
    <x v="16"/>
    <x v="3"/>
    <x v="1"/>
    <n v="513"/>
    <n v="50"/>
    <s v="Met primary endpoint"/>
    <n v="1"/>
    <n v="0"/>
    <n v="14.2"/>
  </r>
  <r>
    <s v="NCT00000525"/>
    <s v="17-10-2024"/>
    <n v="2024"/>
    <x v="8"/>
    <x v="5"/>
    <x v="1"/>
    <n v="434"/>
    <n v="29"/>
    <s v="Met primary endpoint"/>
    <n v="1"/>
    <n v="0"/>
    <n v="9.1999999999999993"/>
  </r>
  <r>
    <s v="NCT00000515"/>
    <d v="2024-02-11T00:00:00"/>
    <n v="2024"/>
    <x v="10"/>
    <x v="2"/>
    <x v="1"/>
    <n v="850"/>
    <n v="39"/>
    <s v="Failed primary endpoint"/>
    <n v="0"/>
    <n v="1"/>
    <n v="-8.3000000000000007"/>
  </r>
  <r>
    <s v="NCT00000535"/>
    <d v="2024-05-11T00:00:00"/>
    <n v="2024"/>
    <x v="10"/>
    <x v="2"/>
    <x v="1"/>
    <n v="1170"/>
    <n v="41"/>
    <s v="Failed primary endpoint"/>
    <n v="0"/>
    <n v="1"/>
    <n v="0.4"/>
  </r>
  <r>
    <s v="NCT00000518"/>
    <s v="13-11-2024"/>
    <n v="2024"/>
    <x v="15"/>
    <x v="0"/>
    <x v="0"/>
    <n v="361"/>
    <n v="16"/>
    <s v="Met primary endpoint"/>
    <n v="1"/>
    <n v="0"/>
    <n v="20.9"/>
  </r>
  <r>
    <s v="NCT00000537"/>
    <s v="14-11-2024"/>
    <n v="2024"/>
    <x v="0"/>
    <x v="7"/>
    <x v="0"/>
    <n v="122"/>
    <n v="19"/>
    <s v="Met primary endpoint"/>
    <n v="1"/>
    <n v="0"/>
    <n v="9.1"/>
  </r>
  <r>
    <s v="NCT00000531"/>
    <s v="15-11-2024"/>
    <n v="2024"/>
    <x v="16"/>
    <x v="7"/>
    <x v="0"/>
    <n v="342"/>
    <n v="21"/>
    <s v="Met primary endpoint"/>
    <n v="1"/>
    <n v="0"/>
    <n v="12.8"/>
  </r>
  <r>
    <s v="NCT00000523"/>
    <d v="2024-01-12T00:00:00"/>
    <n v="2024"/>
    <x v="9"/>
    <x v="7"/>
    <x v="0"/>
    <n v="336"/>
    <n v="18"/>
    <s v="Met primary endpoint"/>
    <n v="1"/>
    <n v="0"/>
    <n v="-6.1"/>
  </r>
  <r>
    <s v="NCT00000526"/>
    <s v="21-12-2024"/>
    <n v="2024"/>
    <x v="18"/>
    <x v="0"/>
    <x v="0"/>
    <n v="793"/>
    <n v="20"/>
    <s v="Failed primary endpoint"/>
    <n v="0"/>
    <n v="1"/>
    <n v="-8.6"/>
  </r>
  <r>
    <s v="NCT00000538"/>
    <s v="23-12-2024"/>
    <n v="2024"/>
    <x v="1"/>
    <x v="4"/>
    <x v="0"/>
    <n v="62"/>
    <n v="19"/>
    <s v="Met primary endpoint"/>
    <n v="1"/>
    <n v="0"/>
    <n v="12.7"/>
  </r>
  <r>
    <s v="NCT00000574"/>
    <d v="2025-02-01T00:00:00"/>
    <n v="2025"/>
    <x v="9"/>
    <x v="2"/>
    <x v="0"/>
    <n v="254"/>
    <n v="21"/>
    <s v="Met primary endpoint"/>
    <n v="1"/>
    <n v="0"/>
    <n v="4.9000000000000004"/>
  </r>
  <r>
    <s v="NCT00000567"/>
    <d v="2025-05-01T00:00:00"/>
    <n v="2025"/>
    <x v="16"/>
    <x v="2"/>
    <x v="1"/>
    <n v="952"/>
    <n v="34"/>
    <s v="Failed primary endpoint"/>
    <n v="0"/>
    <n v="1"/>
    <n v="-9.4"/>
  </r>
  <r>
    <s v="NCT00000583"/>
    <d v="2025-10-01T00:00:00"/>
    <n v="2025"/>
    <x v="2"/>
    <x v="2"/>
    <x v="1"/>
    <n v="380"/>
    <n v="36"/>
    <s v="Met primary endpoint"/>
    <n v="1"/>
    <n v="0"/>
    <n v="4.0999999999999996"/>
  </r>
  <r>
    <s v="NCT00000578"/>
    <s v="13-01-2025"/>
    <n v="2025"/>
    <x v="12"/>
    <x v="9"/>
    <x v="0"/>
    <n v="152"/>
    <n v="21"/>
    <s v="Met primary endpoint"/>
    <n v="1"/>
    <n v="0"/>
    <n v="18"/>
  </r>
  <r>
    <s v="NCT00000589"/>
    <s v="20-01-2025"/>
    <n v="2025"/>
    <x v="2"/>
    <x v="1"/>
    <x v="0"/>
    <n v="117"/>
    <n v="16"/>
    <s v="Mixed results"/>
    <n v="0"/>
    <n v="0"/>
    <n v="0.6"/>
  </r>
  <r>
    <s v="NCT00000560"/>
    <d v="2025-05-02T00:00:00"/>
    <n v="2025"/>
    <x v="0"/>
    <x v="8"/>
    <x v="0"/>
    <n v="404"/>
    <n v="21"/>
    <s v="Failed primary endpoint"/>
    <n v="0"/>
    <n v="1"/>
    <n v="-13"/>
  </r>
  <r>
    <s v="NCT00000572"/>
    <d v="2025-08-02T00:00:00"/>
    <n v="2025"/>
    <x v="7"/>
    <x v="4"/>
    <x v="1"/>
    <n v="640"/>
    <n v="45"/>
    <s v="Met primary endpoint"/>
    <n v="1"/>
    <n v="0"/>
    <n v="-2.2999999999999998"/>
  </r>
  <r>
    <s v="NCT00000558"/>
    <d v="2025-11-02T00:00:00"/>
    <n v="2025"/>
    <x v="16"/>
    <x v="0"/>
    <x v="1"/>
    <n v="1499"/>
    <n v="34"/>
    <s v="Mixed results"/>
    <n v="0"/>
    <n v="0"/>
    <n v="-4.9000000000000004"/>
  </r>
  <r>
    <s v="NCT00000575"/>
    <s v="19-02-2025"/>
    <n v="2025"/>
    <x v="8"/>
    <x v="4"/>
    <x v="1"/>
    <n v="495"/>
    <n v="37"/>
    <s v="Met primary endpoint"/>
    <n v="1"/>
    <n v="0"/>
    <n v="5.3"/>
  </r>
  <r>
    <s v="NCT00000592"/>
    <d v="2025-09-03T00:00:00"/>
    <n v="2025"/>
    <x v="11"/>
    <x v="9"/>
    <x v="0"/>
    <n v="186"/>
    <n v="16"/>
    <s v="Failed primary endpoint"/>
    <n v="0"/>
    <n v="1"/>
    <n v="-2.5"/>
  </r>
  <r>
    <s v="NCT00000576"/>
    <d v="2025-06-04T00:00:00"/>
    <n v="2025"/>
    <x v="6"/>
    <x v="3"/>
    <x v="1"/>
    <n v="2298"/>
    <n v="28"/>
    <s v="Met primary endpoint"/>
    <n v="1"/>
    <n v="0"/>
    <n v="7.7"/>
  </r>
  <r>
    <s v="NCT00000593"/>
    <d v="2025-01-05T00:00:00"/>
    <n v="2025"/>
    <x v="2"/>
    <x v="2"/>
    <x v="0"/>
    <n v="322"/>
    <n v="30"/>
    <s v="Met primary endpoint"/>
    <n v="1"/>
    <n v="0"/>
    <n v="11"/>
  </r>
  <r>
    <s v="NCT00000579"/>
    <d v="2025-12-05T00:00:00"/>
    <n v="2025"/>
    <x v="15"/>
    <x v="1"/>
    <x v="0"/>
    <n v="260"/>
    <n v="8"/>
    <s v="Met primary endpoint"/>
    <n v="1"/>
    <n v="0"/>
    <n v="8"/>
  </r>
  <r>
    <s v="NCT00000595"/>
    <d v="2025-12-05T00:00:00"/>
    <n v="2025"/>
    <x v="1"/>
    <x v="6"/>
    <x v="1"/>
    <n v="363"/>
    <n v="31"/>
    <s v="Failed primary endpoint"/>
    <n v="0"/>
    <n v="1"/>
    <n v="-4.5"/>
  </r>
  <r>
    <s v="NCT00000556"/>
    <s v="17-05-2025"/>
    <n v="2025"/>
    <x v="19"/>
    <x v="7"/>
    <x v="1"/>
    <n v="3689"/>
    <n v="39"/>
    <s v="Failed primary endpoint"/>
    <n v="0"/>
    <n v="1"/>
    <n v="2.4"/>
  </r>
  <r>
    <s v="NCT00000591"/>
    <s v="22-05-2025"/>
    <n v="2025"/>
    <x v="1"/>
    <x v="8"/>
    <x v="1"/>
    <n v="1886"/>
    <n v="29"/>
    <s v="Failed primary endpoint"/>
    <n v="0"/>
    <n v="1"/>
    <n v="-13.1"/>
  </r>
  <r>
    <s v="NCT00000577"/>
    <s v="24-05-2025"/>
    <n v="2025"/>
    <x v="8"/>
    <x v="0"/>
    <x v="1"/>
    <n v="1421"/>
    <n v="30"/>
    <s v="Met primary endpoint"/>
    <n v="1"/>
    <n v="0"/>
    <n v="10.199999999999999"/>
  </r>
  <r>
    <s v="NCT00000584"/>
    <s v="25-05-2025"/>
    <n v="2025"/>
    <x v="0"/>
    <x v="2"/>
    <x v="1"/>
    <n v="940"/>
    <n v="33"/>
    <s v="Failed primary endpoint"/>
    <n v="0"/>
    <n v="1"/>
    <n v="-9.8000000000000007"/>
  </r>
  <r>
    <s v="NCT00000588"/>
    <s v="20-06-2025"/>
    <n v="2025"/>
    <x v="11"/>
    <x v="3"/>
    <x v="0"/>
    <n v="255"/>
    <n v="24"/>
    <s v="Met primary endpoint"/>
    <n v="1"/>
    <n v="0"/>
    <n v="7.7"/>
  </r>
  <r>
    <s v="NCT00000587"/>
    <d v="2025-08-07T00:00:00"/>
    <n v="2025"/>
    <x v="9"/>
    <x v="3"/>
    <x v="1"/>
    <n v="2499"/>
    <n v="38"/>
    <s v="Mixed results"/>
    <n v="0"/>
    <n v="0"/>
    <n v="-0.1"/>
  </r>
  <r>
    <s v="NCT00000585"/>
    <s v="14-08-2025"/>
    <n v="2025"/>
    <x v="7"/>
    <x v="3"/>
    <x v="1"/>
    <n v="1003"/>
    <n v="31"/>
    <s v="Met primary endpoint"/>
    <n v="1"/>
    <n v="0"/>
    <n v="-2.7"/>
  </r>
  <r>
    <s v="NCT00000570"/>
    <s v="19-08-2025"/>
    <n v="2025"/>
    <x v="4"/>
    <x v="2"/>
    <x v="0"/>
    <n v="316"/>
    <n v="21"/>
    <s v="Failed primary endpoint"/>
    <n v="0"/>
    <n v="1"/>
    <n v="-14.2"/>
  </r>
  <r>
    <s v="NCT00000582"/>
    <s v="24-08-2025"/>
    <n v="2025"/>
    <x v="2"/>
    <x v="7"/>
    <x v="0"/>
    <n v="364"/>
    <n v="24"/>
    <s v="Met primary endpoint"/>
    <n v="1"/>
    <n v="0"/>
    <n v="13.2"/>
  </r>
  <r>
    <s v="NCT00000571"/>
    <s v="26-08-2025"/>
    <n v="2025"/>
    <x v="8"/>
    <x v="2"/>
    <x v="1"/>
    <n v="683"/>
    <n v="37"/>
    <s v="Failed primary endpoint"/>
    <n v="0"/>
    <n v="1"/>
    <n v="-27"/>
  </r>
  <r>
    <s v="NCT00000561"/>
    <s v="26-08-2025"/>
    <n v="2025"/>
    <x v="2"/>
    <x v="2"/>
    <x v="1"/>
    <n v="973"/>
    <n v="39"/>
    <s v="Met primary endpoint"/>
    <n v="1"/>
    <n v="0"/>
    <n v="7.6"/>
  </r>
  <r>
    <s v="NCT00000569"/>
    <d v="2025-02-09T00:00:00"/>
    <n v="2025"/>
    <x v="0"/>
    <x v="7"/>
    <x v="1"/>
    <n v="890"/>
    <n v="26"/>
    <s v="Failed primary endpoint"/>
    <n v="0"/>
    <n v="1"/>
    <n v="-10"/>
  </r>
  <r>
    <s v="NCT00000559"/>
    <d v="2025-10-09T00:00:00"/>
    <n v="2025"/>
    <x v="10"/>
    <x v="6"/>
    <x v="0"/>
    <n v="230"/>
    <n v="16"/>
    <s v="Met primary endpoint"/>
    <n v="1"/>
    <n v="0"/>
    <n v="-1.1000000000000001"/>
  </r>
  <r>
    <s v="NCT00000564"/>
    <s v="13-09-2025"/>
    <n v="2025"/>
    <x v="0"/>
    <x v="7"/>
    <x v="0"/>
    <n v="213"/>
    <n v="11"/>
    <s v="Mixed results"/>
    <n v="0"/>
    <n v="0"/>
    <n v="-3"/>
  </r>
  <r>
    <s v="NCT00000594"/>
    <s v="19-09-2025"/>
    <n v="2025"/>
    <x v="15"/>
    <x v="9"/>
    <x v="1"/>
    <n v="2325"/>
    <n v="45"/>
    <s v="Met primary endpoint"/>
    <n v="1"/>
    <n v="0"/>
    <n v="8.5"/>
  </r>
  <r>
    <s v="NCT00000568"/>
    <s v="21-09-2025"/>
    <n v="2025"/>
    <x v="1"/>
    <x v="7"/>
    <x v="0"/>
    <n v="146"/>
    <n v="17"/>
    <s v="Mixed results"/>
    <n v="0"/>
    <n v="0"/>
    <n v="-3.8"/>
  </r>
  <r>
    <s v="NCT00000586"/>
    <d v="2025-01-10T00:00:00"/>
    <n v="2025"/>
    <x v="1"/>
    <x v="4"/>
    <x v="0"/>
    <n v="150"/>
    <n v="18"/>
    <s v="Met primary endpoint"/>
    <n v="1"/>
    <n v="0"/>
    <n v="14.1"/>
  </r>
  <r>
    <s v="NCT00000557"/>
    <s v="14-10-2025"/>
    <n v="2025"/>
    <x v="17"/>
    <x v="4"/>
    <x v="0"/>
    <n v="132"/>
    <n v="16"/>
    <s v="Met primary endpoint"/>
    <n v="1"/>
    <n v="0"/>
    <n v="12.6"/>
  </r>
  <r>
    <s v="NCT00000566"/>
    <s v="24-10-2025"/>
    <n v="2025"/>
    <x v="11"/>
    <x v="0"/>
    <x v="1"/>
    <n v="977"/>
    <n v="33"/>
    <s v="Failed primary endpoint"/>
    <n v="0"/>
    <n v="1"/>
    <n v="-19.5"/>
  </r>
  <r>
    <s v="NCT00000580"/>
    <s v="26-10-2025"/>
    <n v="2025"/>
    <x v="20"/>
    <x v="8"/>
    <x v="1"/>
    <n v="1758"/>
    <n v="34"/>
    <s v="Met primary endpoint"/>
    <n v="1"/>
    <n v="0"/>
    <n v="7.8"/>
  </r>
  <r>
    <s v="NCT00000563"/>
    <s v="26-10-2025"/>
    <n v="2025"/>
    <x v="14"/>
    <x v="0"/>
    <x v="1"/>
    <n v="732"/>
    <n v="26"/>
    <s v="Met primary endpoint"/>
    <n v="1"/>
    <n v="0"/>
    <n v="-0.2"/>
  </r>
  <r>
    <s v="NCT00000573"/>
    <d v="2025-12-11T00:00:00"/>
    <n v="2025"/>
    <x v="20"/>
    <x v="2"/>
    <x v="0"/>
    <n v="112"/>
    <n v="14"/>
    <s v="Failed primary endpoint"/>
    <n v="0"/>
    <n v="1"/>
    <n v="-10.3"/>
  </r>
  <r>
    <s v="NCT00000562"/>
    <s v="24-11-2025"/>
    <n v="2025"/>
    <x v="15"/>
    <x v="7"/>
    <x v="1"/>
    <n v="355"/>
    <n v="38"/>
    <s v="Failed primary endpoint"/>
    <n v="0"/>
    <n v="1"/>
    <n v="-11.1"/>
  </r>
  <r>
    <s v="NCT00000581"/>
    <s v="27-11-2025"/>
    <n v="2025"/>
    <x v="12"/>
    <x v="2"/>
    <x v="1"/>
    <n v="1299"/>
    <n v="35"/>
    <s v="Met primary endpoint"/>
    <n v="1"/>
    <n v="0"/>
    <n v="2.9"/>
  </r>
  <r>
    <s v="NCT00000590"/>
    <d v="2025-09-12T00:00:00"/>
    <n v="2025"/>
    <x v="3"/>
    <x v="2"/>
    <x v="0"/>
    <n v="377"/>
    <n v="16"/>
    <s v="Met primary endpoint"/>
    <n v="1"/>
    <n v="0"/>
    <n v="11.8"/>
  </r>
  <r>
    <s v="NCT00000565"/>
    <s v="22-12-2025"/>
    <n v="2025"/>
    <x v="10"/>
    <x v="9"/>
    <x v="0"/>
    <n v="1132"/>
    <n v="9"/>
    <s v="Met primary endpoint"/>
    <n v="1"/>
    <n v="0"/>
    <n v="7.4"/>
  </r>
  <r>
    <s v="NCT00000597"/>
    <d v="2026-12-01T00:00:00"/>
    <n v="2026"/>
    <x v="14"/>
    <x v="3"/>
    <x v="0"/>
    <n v="301"/>
    <n v="12"/>
    <s v="Met primary endpoint"/>
    <n v="1"/>
    <n v="0"/>
    <n v="-3.1"/>
  </r>
  <r>
    <s v="NCT00000599"/>
    <d v="2026-07-02T00:00:00"/>
    <n v="2026"/>
    <x v="6"/>
    <x v="9"/>
    <x v="0"/>
    <n v="219"/>
    <n v="28"/>
    <s v="Met primary endpoint"/>
    <n v="1"/>
    <n v="0"/>
    <n v="0.2"/>
  </r>
  <r>
    <s v="NCT00000598"/>
    <s v="14-02-2026"/>
    <n v="2026"/>
    <x v="12"/>
    <x v="2"/>
    <x v="1"/>
    <n v="559"/>
    <n v="20"/>
    <s v="Met primary endpoint"/>
    <n v="1"/>
    <n v="0"/>
    <n v="-0.8"/>
  </r>
  <r>
    <s v="NCT00000596"/>
    <d v="2026-05-04T00:00:00"/>
    <n v="2026"/>
    <x v="2"/>
    <x v="9"/>
    <x v="1"/>
    <n v="1109"/>
    <n v="31"/>
    <s v="Met primary endpoint"/>
    <n v="1"/>
    <n v="0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34BCD-1B9A-40EA-A63B-586EBA95B924}" name="PivotTable1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:B23" firstHeaderRow="1" firstDataRow="1" firstDataCol="1"/>
  <pivotFields count="12">
    <pivotField dataField="1" compact="0" outline="0" showAll="0"/>
    <pivotField compact="0" outline="0" showAll="0"/>
    <pivotField compact="0" outline="0" showAll="0"/>
    <pivotField axis="axisRow" compact="0" outline="0" showAll="0">
      <items count="22">
        <item x="17"/>
        <item x="19"/>
        <item x="16"/>
        <item x="5"/>
        <item x="0"/>
        <item x="10"/>
        <item x="20"/>
        <item x="7"/>
        <item x="14"/>
        <item x="2"/>
        <item x="11"/>
        <item x="9"/>
        <item x="13"/>
        <item x="12"/>
        <item x="4"/>
        <item x="1"/>
        <item x="18"/>
        <item x="8"/>
        <item x="15"/>
        <item x="3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trial_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F4D80-2D87-47D3-8EF5-ED9544C94A06}" name="PivotTable2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4" firstHeaderRow="1" firstDataRow="1" firstDataCol="1"/>
  <pivotFields count="1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trial_id" fld="0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BC63E-E83B-4C15-BFC4-4764902B86B5}" name="PivotTable3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:B12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4"/>
        <item x="6"/>
        <item x="7"/>
        <item x="3"/>
        <item x="1"/>
        <item x="0"/>
        <item x="2"/>
        <item x="8"/>
        <item x="9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is_success" fld="9" subtotal="average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ponsor" xr10:uid="{6FF67755-1633-4BF8-B7DD-4F8BF530CA48}" sourceName="sponsor">
  <pivotTables>
    <pivotTable tabId="14" name="PivotTable1"/>
  </pivotTables>
  <data>
    <tabular pivotCacheId="1932291493">
      <items count="21">
        <i x="17" s="1"/>
        <i x="19" s="1"/>
        <i x="16" s="1"/>
        <i x="5" s="1"/>
        <i x="0" s="1"/>
        <i x="10" s="1"/>
        <i x="20" s="1"/>
        <i x="7" s="1"/>
        <i x="14" s="1"/>
        <i x="2" s="1"/>
        <i x="11" s="1"/>
        <i x="9" s="1"/>
        <i x="13" s="1"/>
        <i x="12" s="1"/>
        <i x="4" s="1"/>
        <i x="1" s="1"/>
        <i x="18" s="1"/>
        <i x="8" s="1"/>
        <i x="15" s="1"/>
        <i x="3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ponsor" xr10:uid="{9AAAB572-0611-483C-8821-D870C66DC1C9}" cache="Slicer_sponsor" caption="sponsor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BE70FC-8D7D-43AF-8EF4-6C91945FC6FD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sJRO4U17jKKWSBnmF5yG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CB05-0A61-4543-9086-3C54C86DD4BE}">
  <dimension ref="A1:H5"/>
  <sheetViews>
    <sheetView workbookViewId="0">
      <selection activeCell="D13" sqref="D13"/>
    </sheetView>
  </sheetViews>
  <sheetFormatPr defaultRowHeight="15"/>
  <cols>
    <col min="1" max="1" width="14" bestFit="1" customWidth="1"/>
    <col min="2" max="2" width="16" customWidth="1"/>
    <col min="3" max="3" width="16.28515625" customWidth="1"/>
    <col min="4" max="4" width="14.5703125" customWidth="1"/>
    <col min="5" max="5" width="17.7109375" customWidth="1"/>
  </cols>
  <sheetData>
    <row r="1" spans="1:8">
      <c r="A1" s="17" t="s">
        <v>0</v>
      </c>
      <c r="B1" s="18"/>
      <c r="C1" s="17"/>
      <c r="D1" s="18"/>
      <c r="E1" s="17"/>
      <c r="F1" s="18"/>
      <c r="G1" s="17"/>
      <c r="H1" s="18"/>
    </row>
    <row r="2" spans="1:8">
      <c r="A2" s="19" t="s">
        <v>1</v>
      </c>
      <c r="B2" s="19"/>
      <c r="C2" s="19"/>
      <c r="D2" s="19"/>
      <c r="E2" s="19"/>
      <c r="F2" s="19"/>
      <c r="G2" s="19"/>
      <c r="H2" s="19"/>
    </row>
    <row r="4" spans="1:8" ht="15.75" customHeight="1">
      <c r="A4" s="2" t="s">
        <v>2</v>
      </c>
      <c r="B4" s="3" t="s">
        <v>3</v>
      </c>
      <c r="C4" s="4" t="s">
        <v>4</v>
      </c>
      <c r="D4" s="4" t="s">
        <v>5</v>
      </c>
      <c r="E4" s="4" t="s">
        <v>6</v>
      </c>
    </row>
    <row r="5" spans="1:8">
      <c r="A5" t="s">
        <v>7</v>
      </c>
    </row>
  </sheetData>
  <mergeCells count="5">
    <mergeCell ref="A1:B1"/>
    <mergeCell ref="A2:H2"/>
    <mergeCell ref="C1:D1"/>
    <mergeCell ref="E1:F1"/>
    <mergeCell ref="G1:H1"/>
  </mergeCells>
  <dataValidations count="1">
    <dataValidation type="list" allowBlank="1" showInputMessage="1" showErrorMessage="1" sqref="A5" xr:uid="{25F463EE-8C81-4878-B384-844AB9A11B0F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07D4-99B8-485F-92D0-7837BF4FE05C}">
  <dimension ref="A1:M600"/>
  <sheetViews>
    <sheetView tabSelected="1" topLeftCell="D1" workbookViewId="0">
      <selection activeCell="F10" sqref="F10"/>
    </sheetView>
  </sheetViews>
  <sheetFormatPr defaultRowHeight="15"/>
  <cols>
    <col min="1" max="1" width="13.140625" bestFit="1" customWidth="1"/>
    <col min="2" max="2" width="29.42578125" style="10" customWidth="1"/>
    <col min="4" max="4" width="19.7109375" bestFit="1" customWidth="1"/>
    <col min="5" max="5" width="17" customWidth="1"/>
    <col min="7" max="7" width="14.140625" customWidth="1"/>
    <col min="8" max="8" width="16" bestFit="1" customWidth="1"/>
    <col min="9" max="9" width="26.42578125" customWidth="1"/>
    <col min="10" max="10" width="12.5703125" customWidth="1"/>
    <col min="11" max="11" width="11.7109375" customWidth="1"/>
    <col min="12" max="12" width="28.5703125" customWidth="1"/>
    <col min="13" max="13" width="11.42578125" customWidth="1"/>
  </cols>
  <sheetData>
    <row r="1" spans="1:13">
      <c r="A1" s="11" t="s">
        <v>8</v>
      </c>
      <c r="B1" s="12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19</v>
      </c>
      <c r="M1" s="16" t="s">
        <v>20</v>
      </c>
    </row>
    <row r="2" spans="1:13">
      <c r="A2" s="7" t="s">
        <v>21</v>
      </c>
      <c r="B2" s="9">
        <v>40299</v>
      </c>
      <c r="C2" s="7">
        <v>2010</v>
      </c>
      <c r="D2" s="7" t="s">
        <v>22</v>
      </c>
      <c r="E2" s="7" t="s">
        <v>23</v>
      </c>
      <c r="F2" s="7" t="s">
        <v>24</v>
      </c>
      <c r="G2" s="7">
        <v>186</v>
      </c>
      <c r="H2" s="7">
        <v>11</v>
      </c>
      <c r="I2" s="7" t="s">
        <v>25</v>
      </c>
      <c r="J2" s="7">
        <v>1</v>
      </c>
      <c r="K2" s="7">
        <v>0</v>
      </c>
      <c r="L2" s="7">
        <v>6</v>
      </c>
      <c r="M2" t="str">
        <f>IF(G2&gt;2000,"high risk",IF(G2&gt;500,"medium risk","low risk"))</f>
        <v>low risk</v>
      </c>
    </row>
    <row r="3" spans="1:13">
      <c r="A3" s="7" t="s">
        <v>26</v>
      </c>
      <c r="B3" s="9" t="s">
        <v>27</v>
      </c>
      <c r="C3" s="7">
        <v>2010</v>
      </c>
      <c r="D3" s="7" t="s">
        <v>28</v>
      </c>
      <c r="E3" s="7" t="s">
        <v>29</v>
      </c>
      <c r="F3" s="7" t="s">
        <v>24</v>
      </c>
      <c r="G3" s="7">
        <v>181</v>
      </c>
      <c r="H3" s="7">
        <v>29</v>
      </c>
      <c r="I3" s="7" t="s">
        <v>30</v>
      </c>
      <c r="J3" s="7">
        <v>0</v>
      </c>
      <c r="K3" s="7">
        <v>0</v>
      </c>
      <c r="L3" s="7">
        <v>-0.7</v>
      </c>
      <c r="M3" t="str">
        <f t="shared" ref="M3:M66" si="0">IF(G3&gt;2000,"high risk",IF(G3&gt;500,"medium risk","low risk"))</f>
        <v>low risk</v>
      </c>
    </row>
    <row r="4" spans="1:13">
      <c r="A4" s="7" t="s">
        <v>31</v>
      </c>
      <c r="B4" s="9" t="s">
        <v>32</v>
      </c>
      <c r="C4" s="7">
        <v>2010</v>
      </c>
      <c r="D4" s="7" t="s">
        <v>33</v>
      </c>
      <c r="E4" s="7" t="s">
        <v>34</v>
      </c>
      <c r="F4" s="7" t="s">
        <v>24</v>
      </c>
      <c r="G4" s="7">
        <v>115</v>
      </c>
      <c r="H4" s="7">
        <v>13</v>
      </c>
      <c r="I4" s="7" t="s">
        <v>35</v>
      </c>
      <c r="J4" s="7">
        <v>0</v>
      </c>
      <c r="K4" s="7">
        <v>1</v>
      </c>
      <c r="L4" s="7">
        <v>-33.200000000000003</v>
      </c>
      <c r="M4" t="str">
        <f t="shared" si="0"/>
        <v>low risk</v>
      </c>
    </row>
    <row r="5" spans="1:13">
      <c r="A5" s="7" t="s">
        <v>36</v>
      </c>
      <c r="B5" s="9">
        <v>40212</v>
      </c>
      <c r="C5" s="7">
        <v>2010</v>
      </c>
      <c r="D5" s="7" t="s">
        <v>37</v>
      </c>
      <c r="E5" s="7" t="s">
        <v>38</v>
      </c>
      <c r="F5" s="7" t="s">
        <v>24</v>
      </c>
      <c r="G5" s="7">
        <v>359</v>
      </c>
      <c r="H5" s="7">
        <v>15</v>
      </c>
      <c r="I5" s="7" t="s">
        <v>25</v>
      </c>
      <c r="J5" s="7">
        <v>1</v>
      </c>
      <c r="K5" s="7">
        <v>0</v>
      </c>
      <c r="L5" s="7">
        <v>12.4</v>
      </c>
      <c r="M5" t="str">
        <f t="shared" si="0"/>
        <v>low risk</v>
      </c>
    </row>
    <row r="6" spans="1:13">
      <c r="A6" s="7" t="s">
        <v>39</v>
      </c>
      <c r="B6" s="9">
        <v>40425</v>
      </c>
      <c r="C6" s="7">
        <v>2010</v>
      </c>
      <c r="D6" s="7" t="s">
        <v>40</v>
      </c>
      <c r="E6" s="7" t="s">
        <v>34</v>
      </c>
      <c r="F6" s="7" t="s">
        <v>41</v>
      </c>
      <c r="G6" s="7">
        <v>840</v>
      </c>
      <c r="H6" s="7">
        <v>42</v>
      </c>
      <c r="I6" s="7" t="s">
        <v>35</v>
      </c>
      <c r="J6" s="7">
        <v>0</v>
      </c>
      <c r="K6" s="7">
        <v>1</v>
      </c>
      <c r="L6" s="7">
        <v>-14.7</v>
      </c>
      <c r="M6" t="str">
        <f t="shared" si="0"/>
        <v>medium risk</v>
      </c>
    </row>
    <row r="7" spans="1:13">
      <c r="A7" s="7" t="s">
        <v>42</v>
      </c>
      <c r="B7" s="9" t="s">
        <v>43</v>
      </c>
      <c r="C7" s="7">
        <v>2010</v>
      </c>
      <c r="D7" s="7" t="s">
        <v>44</v>
      </c>
      <c r="E7" s="7" t="s">
        <v>38</v>
      </c>
      <c r="F7" s="7" t="s">
        <v>41</v>
      </c>
      <c r="G7" s="7">
        <v>615</v>
      </c>
      <c r="H7" s="7">
        <v>35</v>
      </c>
      <c r="I7" s="7" t="s">
        <v>25</v>
      </c>
      <c r="J7" s="7">
        <v>1</v>
      </c>
      <c r="K7" s="7">
        <v>0</v>
      </c>
      <c r="L7" s="7">
        <v>6.1</v>
      </c>
      <c r="M7" t="str">
        <f t="shared" si="0"/>
        <v>medium risk</v>
      </c>
    </row>
    <row r="8" spans="1:13">
      <c r="A8" s="7" t="s">
        <v>45</v>
      </c>
      <c r="B8" s="9" t="s">
        <v>43</v>
      </c>
      <c r="C8" s="7">
        <v>2010</v>
      </c>
      <c r="D8" s="7" t="s">
        <v>46</v>
      </c>
      <c r="E8" s="7" t="s">
        <v>47</v>
      </c>
      <c r="F8" s="7" t="s">
        <v>41</v>
      </c>
      <c r="G8" s="7">
        <v>2496</v>
      </c>
      <c r="H8" s="7">
        <v>36</v>
      </c>
      <c r="I8" s="7" t="s">
        <v>35</v>
      </c>
      <c r="J8" s="7">
        <v>0</v>
      </c>
      <c r="K8" s="7">
        <v>1</v>
      </c>
      <c r="L8" s="7">
        <v>-14.7</v>
      </c>
      <c r="M8" t="str">
        <f t="shared" si="0"/>
        <v>high risk</v>
      </c>
    </row>
    <row r="9" spans="1:13">
      <c r="A9" s="7" t="s">
        <v>48</v>
      </c>
      <c r="B9" s="9">
        <v>40395</v>
      </c>
      <c r="C9" s="7">
        <v>2010</v>
      </c>
      <c r="D9" s="7" t="s">
        <v>22</v>
      </c>
      <c r="E9" s="7" t="s">
        <v>34</v>
      </c>
      <c r="F9" s="7" t="s">
        <v>41</v>
      </c>
      <c r="G9" s="7">
        <v>1265</v>
      </c>
      <c r="H9" s="7">
        <v>30</v>
      </c>
      <c r="I9" s="7" t="s">
        <v>35</v>
      </c>
      <c r="J9" s="7">
        <v>0</v>
      </c>
      <c r="K9" s="7">
        <v>1</v>
      </c>
      <c r="L9" s="7">
        <v>-23.7</v>
      </c>
      <c r="M9" t="str">
        <f t="shared" si="0"/>
        <v>medium risk</v>
      </c>
    </row>
    <row r="10" spans="1:13">
      <c r="A10" s="7" t="s">
        <v>49</v>
      </c>
      <c r="B10" s="9" t="s">
        <v>50</v>
      </c>
      <c r="C10" s="7">
        <v>2010</v>
      </c>
      <c r="D10" s="7" t="s">
        <v>51</v>
      </c>
      <c r="E10" s="7" t="s">
        <v>38</v>
      </c>
      <c r="F10" s="7" t="s">
        <v>41</v>
      </c>
      <c r="G10" s="7">
        <v>1115</v>
      </c>
      <c r="H10" s="7">
        <v>34</v>
      </c>
      <c r="I10" s="7" t="s">
        <v>35</v>
      </c>
      <c r="J10" s="7">
        <v>0</v>
      </c>
      <c r="K10" s="7">
        <v>1</v>
      </c>
      <c r="L10" s="7">
        <v>-11.1</v>
      </c>
      <c r="M10" t="str">
        <f t="shared" si="0"/>
        <v>medium risk</v>
      </c>
    </row>
    <row r="11" spans="1:13">
      <c r="A11" s="7" t="s">
        <v>52</v>
      </c>
      <c r="B11" s="9" t="s">
        <v>53</v>
      </c>
      <c r="C11" s="7">
        <v>2010</v>
      </c>
      <c r="D11" s="7" t="s">
        <v>22</v>
      </c>
      <c r="E11" s="7" t="s">
        <v>54</v>
      </c>
      <c r="F11" s="7" t="s">
        <v>41</v>
      </c>
      <c r="G11" s="7">
        <v>2414</v>
      </c>
      <c r="H11" s="7">
        <v>43</v>
      </c>
      <c r="I11" s="7" t="s">
        <v>25</v>
      </c>
      <c r="J11" s="7">
        <v>1</v>
      </c>
      <c r="K11" s="7">
        <v>0</v>
      </c>
      <c r="L11" s="7">
        <v>13.7</v>
      </c>
      <c r="M11" t="str">
        <f t="shared" si="0"/>
        <v>high risk</v>
      </c>
    </row>
    <row r="12" spans="1:13">
      <c r="A12" s="7" t="s">
        <v>55</v>
      </c>
      <c r="B12" s="9" t="s">
        <v>53</v>
      </c>
      <c r="C12" s="7">
        <v>2010</v>
      </c>
      <c r="D12" s="7" t="s">
        <v>51</v>
      </c>
      <c r="E12" s="7" t="s">
        <v>34</v>
      </c>
      <c r="F12" s="7" t="s">
        <v>41</v>
      </c>
      <c r="G12" s="7">
        <v>4107</v>
      </c>
      <c r="H12" s="7">
        <v>37</v>
      </c>
      <c r="I12" s="7" t="s">
        <v>35</v>
      </c>
      <c r="J12" s="7">
        <v>0</v>
      </c>
      <c r="K12" s="7">
        <v>1</v>
      </c>
      <c r="L12" s="7">
        <v>-8.4</v>
      </c>
      <c r="M12" t="str">
        <f t="shared" si="0"/>
        <v>high risk</v>
      </c>
    </row>
    <row r="13" spans="1:13">
      <c r="A13" s="7" t="s">
        <v>56</v>
      </c>
      <c r="B13" s="9" t="s">
        <v>57</v>
      </c>
      <c r="C13" s="7">
        <v>2010</v>
      </c>
      <c r="D13" s="7" t="s">
        <v>58</v>
      </c>
      <c r="E13" s="7" t="s">
        <v>54</v>
      </c>
      <c r="F13" s="7" t="s">
        <v>24</v>
      </c>
      <c r="G13" s="7">
        <v>266</v>
      </c>
      <c r="H13" s="7">
        <v>25</v>
      </c>
      <c r="I13" s="7" t="s">
        <v>25</v>
      </c>
      <c r="J13" s="7">
        <v>1</v>
      </c>
      <c r="K13" s="7">
        <v>0</v>
      </c>
      <c r="L13" s="7">
        <v>8.6</v>
      </c>
      <c r="M13" t="str">
        <f t="shared" si="0"/>
        <v>low risk</v>
      </c>
    </row>
    <row r="14" spans="1:13">
      <c r="A14" s="7" t="s">
        <v>59</v>
      </c>
      <c r="B14" s="9" t="s">
        <v>60</v>
      </c>
      <c r="C14" s="7">
        <v>2010</v>
      </c>
      <c r="D14" s="7" t="s">
        <v>44</v>
      </c>
      <c r="E14" s="7" t="s">
        <v>34</v>
      </c>
      <c r="F14" s="7" t="s">
        <v>24</v>
      </c>
      <c r="G14" s="7">
        <v>207</v>
      </c>
      <c r="H14" s="7">
        <v>17</v>
      </c>
      <c r="I14" s="7" t="s">
        <v>25</v>
      </c>
      <c r="J14" s="7">
        <v>1</v>
      </c>
      <c r="K14" s="7">
        <v>0</v>
      </c>
      <c r="L14" s="7">
        <v>8.3000000000000007</v>
      </c>
      <c r="M14" t="str">
        <f t="shared" si="0"/>
        <v>low risk</v>
      </c>
    </row>
    <row r="15" spans="1:13">
      <c r="A15" s="7" t="s">
        <v>61</v>
      </c>
      <c r="B15" s="9" t="s">
        <v>62</v>
      </c>
      <c r="C15" s="7">
        <v>2010</v>
      </c>
      <c r="D15" s="7" t="s">
        <v>37</v>
      </c>
      <c r="E15" s="7" t="s">
        <v>63</v>
      </c>
      <c r="F15" s="7" t="s">
        <v>41</v>
      </c>
      <c r="G15" s="7">
        <v>830</v>
      </c>
      <c r="H15" s="7">
        <v>42</v>
      </c>
      <c r="I15" s="7" t="s">
        <v>25</v>
      </c>
      <c r="J15" s="7">
        <v>1</v>
      </c>
      <c r="K15" s="7">
        <v>0</v>
      </c>
      <c r="L15" s="7">
        <v>8</v>
      </c>
      <c r="M15" t="str">
        <f t="shared" si="0"/>
        <v>medium risk</v>
      </c>
    </row>
    <row r="16" spans="1:13">
      <c r="A16" s="7" t="s">
        <v>64</v>
      </c>
      <c r="B16" s="9">
        <v>40185</v>
      </c>
      <c r="C16" s="7">
        <v>2010</v>
      </c>
      <c r="D16" s="7" t="s">
        <v>44</v>
      </c>
      <c r="E16" s="7" t="s">
        <v>34</v>
      </c>
      <c r="F16" s="8" t="s">
        <v>41</v>
      </c>
      <c r="G16" s="7">
        <v>2258</v>
      </c>
      <c r="H16" s="7">
        <v>39</v>
      </c>
      <c r="I16" s="7" t="s">
        <v>35</v>
      </c>
      <c r="J16" s="7">
        <v>0</v>
      </c>
      <c r="K16" s="7">
        <v>1</v>
      </c>
      <c r="L16" s="7">
        <v>-13.5</v>
      </c>
      <c r="M16" t="str">
        <f t="shared" si="0"/>
        <v>high risk</v>
      </c>
    </row>
    <row r="17" spans="1:13">
      <c r="A17" s="7" t="s">
        <v>65</v>
      </c>
      <c r="B17" s="9">
        <v>40397</v>
      </c>
      <c r="C17" s="7">
        <v>2010</v>
      </c>
      <c r="D17" s="7" t="s">
        <v>66</v>
      </c>
      <c r="E17" s="7" t="s">
        <v>34</v>
      </c>
      <c r="F17" s="7" t="s">
        <v>24</v>
      </c>
      <c r="G17" s="7">
        <v>358</v>
      </c>
      <c r="H17" s="7">
        <v>24</v>
      </c>
      <c r="I17" s="7" t="s">
        <v>25</v>
      </c>
      <c r="J17" s="7">
        <v>1</v>
      </c>
      <c r="K17" s="7">
        <v>0</v>
      </c>
      <c r="L17" s="7">
        <v>13.7</v>
      </c>
      <c r="M17" t="str">
        <f t="shared" si="0"/>
        <v>low risk</v>
      </c>
    </row>
    <row r="18" spans="1:13">
      <c r="A18" s="7" t="s">
        <v>67</v>
      </c>
      <c r="B18" s="9">
        <v>40428</v>
      </c>
      <c r="C18" s="7">
        <v>2010</v>
      </c>
      <c r="D18" s="7" t="s">
        <v>68</v>
      </c>
      <c r="E18" s="7" t="s">
        <v>38</v>
      </c>
      <c r="F18" s="7" t="s">
        <v>41</v>
      </c>
      <c r="G18" s="7">
        <v>2496</v>
      </c>
      <c r="H18" s="7">
        <v>39</v>
      </c>
      <c r="I18" s="7" t="s">
        <v>30</v>
      </c>
      <c r="J18" s="7">
        <v>0</v>
      </c>
      <c r="K18" s="7">
        <v>0</v>
      </c>
      <c r="L18" s="7">
        <v>3.1</v>
      </c>
      <c r="M18" t="str">
        <f t="shared" si="0"/>
        <v>high risk</v>
      </c>
    </row>
    <row r="19" spans="1:13">
      <c r="A19" s="7" t="s">
        <v>69</v>
      </c>
      <c r="B19" s="9">
        <v>40458</v>
      </c>
      <c r="C19" s="7">
        <v>2010</v>
      </c>
      <c r="D19" s="7" t="s">
        <v>44</v>
      </c>
      <c r="E19" s="7" t="s">
        <v>23</v>
      </c>
      <c r="F19" s="7" t="s">
        <v>24</v>
      </c>
      <c r="G19" s="7">
        <v>180</v>
      </c>
      <c r="H19" s="7">
        <v>8</v>
      </c>
      <c r="I19" s="7" t="s">
        <v>35</v>
      </c>
      <c r="J19" s="7">
        <v>0</v>
      </c>
      <c r="K19" s="7">
        <v>1</v>
      </c>
      <c r="L19" s="7">
        <v>-10.199999999999999</v>
      </c>
      <c r="M19" t="str">
        <f t="shared" si="0"/>
        <v>low risk</v>
      </c>
    </row>
    <row r="20" spans="1:13">
      <c r="A20" s="7" t="s">
        <v>70</v>
      </c>
      <c r="B20" s="9" t="s">
        <v>71</v>
      </c>
      <c r="C20" s="7">
        <v>2010</v>
      </c>
      <c r="D20" s="7" t="s">
        <v>58</v>
      </c>
      <c r="E20" s="7" t="s">
        <v>34</v>
      </c>
      <c r="F20" s="7" t="s">
        <v>41</v>
      </c>
      <c r="G20" s="7">
        <v>3586</v>
      </c>
      <c r="H20" s="7">
        <v>41</v>
      </c>
      <c r="I20" s="7" t="s">
        <v>35</v>
      </c>
      <c r="J20" s="7">
        <v>0</v>
      </c>
      <c r="K20" s="7">
        <v>1</v>
      </c>
      <c r="L20" s="7">
        <v>-11.3</v>
      </c>
      <c r="M20" t="str">
        <f t="shared" si="0"/>
        <v>high risk</v>
      </c>
    </row>
    <row r="21" spans="1:13">
      <c r="A21" s="7" t="s">
        <v>72</v>
      </c>
      <c r="B21" s="9">
        <v>40367</v>
      </c>
      <c r="C21" s="7">
        <v>2010</v>
      </c>
      <c r="D21" s="7" t="s">
        <v>66</v>
      </c>
      <c r="E21" s="7" t="s">
        <v>34</v>
      </c>
      <c r="F21" s="7" t="s">
        <v>24</v>
      </c>
      <c r="G21" s="7">
        <v>300</v>
      </c>
      <c r="H21" s="7">
        <v>15</v>
      </c>
      <c r="I21" s="7" t="s">
        <v>30</v>
      </c>
      <c r="J21" s="7">
        <v>0</v>
      </c>
      <c r="K21" s="7">
        <v>0</v>
      </c>
      <c r="L21" s="7">
        <v>-6.1</v>
      </c>
      <c r="M21" t="str">
        <f t="shared" si="0"/>
        <v>low risk</v>
      </c>
    </row>
    <row r="22" spans="1:13">
      <c r="A22" s="7" t="s">
        <v>73</v>
      </c>
      <c r="B22" s="9" t="s">
        <v>74</v>
      </c>
      <c r="C22" s="7">
        <v>2010</v>
      </c>
      <c r="D22" s="7" t="s">
        <v>75</v>
      </c>
      <c r="E22" s="7" t="s">
        <v>76</v>
      </c>
      <c r="F22" s="7" t="s">
        <v>41</v>
      </c>
      <c r="G22" s="7">
        <v>493</v>
      </c>
      <c r="H22" s="7">
        <v>36</v>
      </c>
      <c r="I22" s="7" t="s">
        <v>25</v>
      </c>
      <c r="J22" s="7">
        <v>1</v>
      </c>
      <c r="K22" s="7">
        <v>0</v>
      </c>
      <c r="L22" s="7">
        <v>6.1</v>
      </c>
      <c r="M22" t="str">
        <f t="shared" si="0"/>
        <v>low risk</v>
      </c>
    </row>
    <row r="23" spans="1:13">
      <c r="A23" s="7" t="s">
        <v>77</v>
      </c>
      <c r="B23" s="9" t="s">
        <v>74</v>
      </c>
      <c r="C23" s="7">
        <v>2010</v>
      </c>
      <c r="D23" s="7" t="s">
        <v>40</v>
      </c>
      <c r="E23" s="7" t="s">
        <v>78</v>
      </c>
      <c r="F23" s="7" t="s">
        <v>41</v>
      </c>
      <c r="G23" s="7">
        <v>1035</v>
      </c>
      <c r="H23" s="7">
        <v>37</v>
      </c>
      <c r="I23" s="7" t="s">
        <v>35</v>
      </c>
      <c r="J23" s="7">
        <v>0</v>
      </c>
      <c r="K23" s="7">
        <v>1</v>
      </c>
      <c r="L23" s="7">
        <v>-5</v>
      </c>
      <c r="M23" t="str">
        <f t="shared" si="0"/>
        <v>medium risk</v>
      </c>
    </row>
    <row r="24" spans="1:13">
      <c r="A24" s="7" t="s">
        <v>79</v>
      </c>
      <c r="B24" s="9" t="s">
        <v>80</v>
      </c>
      <c r="C24" s="7">
        <v>2010</v>
      </c>
      <c r="D24" s="7" t="s">
        <v>46</v>
      </c>
      <c r="E24" s="7" t="s">
        <v>47</v>
      </c>
      <c r="F24" s="7" t="s">
        <v>24</v>
      </c>
      <c r="G24" s="7">
        <v>418</v>
      </c>
      <c r="H24" s="7">
        <v>21</v>
      </c>
      <c r="I24" s="7" t="s">
        <v>25</v>
      </c>
      <c r="J24" s="7">
        <v>1</v>
      </c>
      <c r="K24" s="7">
        <v>0</v>
      </c>
      <c r="L24" s="7">
        <v>13</v>
      </c>
      <c r="M24" t="str">
        <f t="shared" si="0"/>
        <v>low risk</v>
      </c>
    </row>
    <row r="25" spans="1:13">
      <c r="A25" s="7" t="s">
        <v>81</v>
      </c>
      <c r="B25" s="9" t="s">
        <v>82</v>
      </c>
      <c r="C25" s="7">
        <v>2010</v>
      </c>
      <c r="D25" s="7" t="s">
        <v>58</v>
      </c>
      <c r="E25" s="7" t="s">
        <v>83</v>
      </c>
      <c r="F25" s="7" t="s">
        <v>41</v>
      </c>
      <c r="G25" s="7">
        <v>1219</v>
      </c>
      <c r="H25" s="7">
        <v>36</v>
      </c>
      <c r="I25" s="7" t="s">
        <v>35</v>
      </c>
      <c r="J25" s="7">
        <v>0</v>
      </c>
      <c r="K25" s="7">
        <v>1</v>
      </c>
      <c r="L25" s="7">
        <v>9.5</v>
      </c>
      <c r="M25" t="str">
        <f t="shared" si="0"/>
        <v>medium risk</v>
      </c>
    </row>
    <row r="26" spans="1:13">
      <c r="A26" s="7" t="s">
        <v>84</v>
      </c>
      <c r="B26" s="9" t="s">
        <v>85</v>
      </c>
      <c r="C26" s="7">
        <v>2010</v>
      </c>
      <c r="D26" s="7" t="s">
        <v>33</v>
      </c>
      <c r="E26" s="7" t="s">
        <v>29</v>
      </c>
      <c r="F26" s="7" t="s">
        <v>41</v>
      </c>
      <c r="G26" s="7">
        <v>3169</v>
      </c>
      <c r="H26" s="7">
        <v>39</v>
      </c>
      <c r="I26" s="7" t="s">
        <v>25</v>
      </c>
      <c r="J26" s="7">
        <v>1</v>
      </c>
      <c r="K26" s="7">
        <v>0</v>
      </c>
      <c r="L26" s="7">
        <v>7.7</v>
      </c>
      <c r="M26" t="str">
        <f t="shared" si="0"/>
        <v>high risk</v>
      </c>
    </row>
    <row r="27" spans="1:13">
      <c r="A27" s="7" t="s">
        <v>86</v>
      </c>
      <c r="B27" s="9" t="s">
        <v>87</v>
      </c>
      <c r="C27" s="7">
        <v>2010</v>
      </c>
      <c r="D27" s="7" t="s">
        <v>37</v>
      </c>
      <c r="E27" s="7" t="s">
        <v>47</v>
      </c>
      <c r="F27" s="7" t="s">
        <v>24</v>
      </c>
      <c r="G27" s="7">
        <v>388</v>
      </c>
      <c r="H27" s="7">
        <v>13</v>
      </c>
      <c r="I27" s="7" t="s">
        <v>25</v>
      </c>
      <c r="J27" s="7">
        <v>1</v>
      </c>
      <c r="K27" s="7">
        <v>0</v>
      </c>
      <c r="L27" s="7">
        <v>-1.9</v>
      </c>
      <c r="M27" t="str">
        <f t="shared" si="0"/>
        <v>low risk</v>
      </c>
    </row>
    <row r="28" spans="1:13">
      <c r="A28" s="7" t="s">
        <v>88</v>
      </c>
      <c r="B28" s="9" t="s">
        <v>89</v>
      </c>
      <c r="C28" s="7">
        <v>2010</v>
      </c>
      <c r="D28" s="7" t="s">
        <v>28</v>
      </c>
      <c r="E28" s="7" t="s">
        <v>47</v>
      </c>
      <c r="F28" s="7" t="s">
        <v>24</v>
      </c>
      <c r="G28" s="7">
        <v>502</v>
      </c>
      <c r="H28" s="7">
        <v>22</v>
      </c>
      <c r="I28" s="7" t="s">
        <v>25</v>
      </c>
      <c r="J28" s="7">
        <v>1</v>
      </c>
      <c r="K28" s="7">
        <v>0</v>
      </c>
      <c r="L28" s="7">
        <v>10.4</v>
      </c>
      <c r="M28" t="str">
        <f t="shared" si="0"/>
        <v>medium risk</v>
      </c>
    </row>
    <row r="29" spans="1:13">
      <c r="A29" s="7" t="s">
        <v>90</v>
      </c>
      <c r="B29" s="9">
        <v>40247</v>
      </c>
      <c r="C29" s="7">
        <v>2010</v>
      </c>
      <c r="D29" s="7" t="s">
        <v>51</v>
      </c>
      <c r="E29" s="7" t="s">
        <v>38</v>
      </c>
      <c r="F29" s="7" t="s">
        <v>41</v>
      </c>
      <c r="G29" s="7">
        <v>797</v>
      </c>
      <c r="H29" s="7">
        <v>47</v>
      </c>
      <c r="I29" s="7" t="s">
        <v>30</v>
      </c>
      <c r="J29" s="7">
        <v>0</v>
      </c>
      <c r="K29" s="7">
        <v>0</v>
      </c>
      <c r="L29" s="7">
        <v>0.4</v>
      </c>
      <c r="M29" t="str">
        <f t="shared" si="0"/>
        <v>medium risk</v>
      </c>
    </row>
    <row r="30" spans="1:13">
      <c r="A30" s="7" t="s">
        <v>91</v>
      </c>
      <c r="B30" s="9" t="s">
        <v>92</v>
      </c>
      <c r="C30" s="7">
        <v>2010</v>
      </c>
      <c r="D30" s="7" t="s">
        <v>40</v>
      </c>
      <c r="E30" s="7" t="s">
        <v>34</v>
      </c>
      <c r="F30" s="7" t="s">
        <v>41</v>
      </c>
      <c r="G30" s="7">
        <v>1570</v>
      </c>
      <c r="H30" s="7">
        <v>36</v>
      </c>
      <c r="I30" s="7" t="s">
        <v>35</v>
      </c>
      <c r="J30" s="7">
        <v>0</v>
      </c>
      <c r="K30" s="7">
        <v>1</v>
      </c>
      <c r="L30" s="7">
        <v>-3.6</v>
      </c>
      <c r="M30" t="str">
        <f t="shared" si="0"/>
        <v>medium risk</v>
      </c>
    </row>
    <row r="31" spans="1:13">
      <c r="A31" s="7" t="s">
        <v>93</v>
      </c>
      <c r="B31" s="9" t="s">
        <v>94</v>
      </c>
      <c r="C31" s="7">
        <v>2010</v>
      </c>
      <c r="D31" s="7" t="s">
        <v>75</v>
      </c>
      <c r="E31" s="7" t="s">
        <v>29</v>
      </c>
      <c r="F31" s="7" t="s">
        <v>41</v>
      </c>
      <c r="G31" s="7">
        <v>898</v>
      </c>
      <c r="H31" s="7">
        <v>36</v>
      </c>
      <c r="I31" s="7" t="s">
        <v>25</v>
      </c>
      <c r="J31" s="7">
        <v>1</v>
      </c>
      <c r="K31" s="7">
        <v>0</v>
      </c>
      <c r="L31" s="7">
        <v>-1.7</v>
      </c>
      <c r="M31" t="str">
        <f t="shared" si="0"/>
        <v>medium risk</v>
      </c>
    </row>
    <row r="32" spans="1:13">
      <c r="A32" s="7" t="s">
        <v>95</v>
      </c>
      <c r="B32" s="9">
        <v>40340</v>
      </c>
      <c r="C32" s="7">
        <v>2010</v>
      </c>
      <c r="D32" s="7" t="s">
        <v>96</v>
      </c>
      <c r="E32" s="7" t="s">
        <v>47</v>
      </c>
      <c r="F32" s="7" t="s">
        <v>41</v>
      </c>
      <c r="G32" s="7">
        <v>2235</v>
      </c>
      <c r="H32" s="7">
        <v>36</v>
      </c>
      <c r="I32" s="7" t="s">
        <v>25</v>
      </c>
      <c r="J32" s="7">
        <v>1</v>
      </c>
      <c r="K32" s="7">
        <v>0</v>
      </c>
      <c r="L32" s="7">
        <v>6.7</v>
      </c>
      <c r="M32" t="str">
        <f t="shared" si="0"/>
        <v>high risk</v>
      </c>
    </row>
    <row r="33" spans="1:13">
      <c r="A33" s="7" t="s">
        <v>97</v>
      </c>
      <c r="B33" s="9" t="s">
        <v>98</v>
      </c>
      <c r="C33" s="7">
        <v>2010</v>
      </c>
      <c r="D33" s="7" t="s">
        <v>58</v>
      </c>
      <c r="E33" s="7" t="s">
        <v>34</v>
      </c>
      <c r="F33" s="7" t="s">
        <v>24</v>
      </c>
      <c r="G33" s="7">
        <v>436</v>
      </c>
      <c r="H33" s="7">
        <v>24</v>
      </c>
      <c r="I33" s="7" t="s">
        <v>35</v>
      </c>
      <c r="J33" s="7">
        <v>0</v>
      </c>
      <c r="K33" s="7">
        <v>1</v>
      </c>
      <c r="L33" s="7">
        <v>-2.2000000000000002</v>
      </c>
      <c r="M33" t="str">
        <f t="shared" si="0"/>
        <v>low risk</v>
      </c>
    </row>
    <row r="34" spans="1:13">
      <c r="A34" s="7" t="s">
        <v>99</v>
      </c>
      <c r="B34" s="9" t="s">
        <v>100</v>
      </c>
      <c r="C34" s="7">
        <v>2010</v>
      </c>
      <c r="D34" s="7" t="s">
        <v>101</v>
      </c>
      <c r="E34" s="7" t="s">
        <v>23</v>
      </c>
      <c r="F34" s="7" t="s">
        <v>41</v>
      </c>
      <c r="G34" s="7">
        <v>1232</v>
      </c>
      <c r="H34" s="7">
        <v>25</v>
      </c>
      <c r="I34" s="7" t="s">
        <v>35</v>
      </c>
      <c r="J34" s="7">
        <v>0</v>
      </c>
      <c r="K34" s="7">
        <v>1</v>
      </c>
      <c r="L34" s="7">
        <v>-13.5</v>
      </c>
      <c r="M34" t="str">
        <f t="shared" si="0"/>
        <v>medium risk</v>
      </c>
    </row>
    <row r="35" spans="1:13">
      <c r="A35" s="7" t="s">
        <v>102</v>
      </c>
      <c r="B35" s="9">
        <v>40433</v>
      </c>
      <c r="C35" s="7">
        <v>2010</v>
      </c>
      <c r="D35" s="7" t="s">
        <v>96</v>
      </c>
      <c r="E35" s="7" t="s">
        <v>34</v>
      </c>
      <c r="F35" s="7" t="s">
        <v>41</v>
      </c>
      <c r="G35" s="7">
        <v>1845</v>
      </c>
      <c r="H35" s="7">
        <v>17</v>
      </c>
      <c r="I35" s="7" t="s">
        <v>35</v>
      </c>
      <c r="J35" s="7">
        <v>0</v>
      </c>
      <c r="K35" s="7">
        <v>1</v>
      </c>
      <c r="L35" s="7">
        <v>-23</v>
      </c>
      <c r="M35" t="str">
        <f t="shared" si="0"/>
        <v>medium risk</v>
      </c>
    </row>
    <row r="36" spans="1:13">
      <c r="A36" s="7" t="s">
        <v>103</v>
      </c>
      <c r="B36" s="9">
        <v>40634</v>
      </c>
      <c r="C36" s="7">
        <v>2011</v>
      </c>
      <c r="D36" s="7" t="s">
        <v>44</v>
      </c>
      <c r="E36" s="7" t="s">
        <v>23</v>
      </c>
      <c r="F36" s="7" t="s">
        <v>24</v>
      </c>
      <c r="G36" s="7">
        <v>118</v>
      </c>
      <c r="H36" s="7">
        <v>13</v>
      </c>
      <c r="I36" s="7" t="s">
        <v>25</v>
      </c>
      <c r="J36" s="7">
        <v>1</v>
      </c>
      <c r="K36" s="7">
        <v>0</v>
      </c>
      <c r="L36" s="7">
        <v>18.3</v>
      </c>
      <c r="M36" t="str">
        <f t="shared" si="0"/>
        <v>low risk</v>
      </c>
    </row>
    <row r="37" spans="1:13">
      <c r="A37" s="7" t="s">
        <v>104</v>
      </c>
      <c r="B37" s="9">
        <v>40756</v>
      </c>
      <c r="C37" s="7">
        <v>2011</v>
      </c>
      <c r="D37" s="7" t="s">
        <v>66</v>
      </c>
      <c r="E37" s="7" t="s">
        <v>34</v>
      </c>
      <c r="F37" s="7" t="s">
        <v>41</v>
      </c>
      <c r="G37" s="7">
        <v>723</v>
      </c>
      <c r="H37" s="7">
        <v>34</v>
      </c>
      <c r="I37" s="7" t="s">
        <v>25</v>
      </c>
      <c r="J37" s="7">
        <v>1</v>
      </c>
      <c r="K37" s="7">
        <v>0</v>
      </c>
      <c r="L37" s="7">
        <v>10.6</v>
      </c>
      <c r="M37" t="str">
        <f t="shared" si="0"/>
        <v>medium risk</v>
      </c>
    </row>
    <row r="38" spans="1:13">
      <c r="A38" s="7" t="s">
        <v>105</v>
      </c>
      <c r="B38" s="9" t="s">
        <v>106</v>
      </c>
      <c r="C38" s="7">
        <v>2011</v>
      </c>
      <c r="D38" s="7" t="s">
        <v>107</v>
      </c>
      <c r="E38" s="7" t="s">
        <v>47</v>
      </c>
      <c r="F38" s="7" t="s">
        <v>24</v>
      </c>
      <c r="G38" s="7">
        <v>276</v>
      </c>
      <c r="H38" s="7">
        <v>21</v>
      </c>
      <c r="I38" s="7" t="s">
        <v>30</v>
      </c>
      <c r="J38" s="7">
        <v>0</v>
      </c>
      <c r="K38" s="7">
        <v>0</v>
      </c>
      <c r="L38" s="7">
        <v>0.1</v>
      </c>
      <c r="M38" t="str">
        <f t="shared" si="0"/>
        <v>low risk</v>
      </c>
    </row>
    <row r="39" spans="1:13">
      <c r="A39" s="7" t="s">
        <v>108</v>
      </c>
      <c r="B39" s="9" t="s">
        <v>109</v>
      </c>
      <c r="C39" s="7">
        <v>2011</v>
      </c>
      <c r="D39" s="7" t="s">
        <v>22</v>
      </c>
      <c r="E39" s="7" t="s">
        <v>23</v>
      </c>
      <c r="F39" s="7" t="s">
        <v>41</v>
      </c>
      <c r="G39" s="7">
        <v>794</v>
      </c>
      <c r="H39" s="7">
        <v>29</v>
      </c>
      <c r="I39" s="7" t="s">
        <v>35</v>
      </c>
      <c r="J39" s="7">
        <v>0</v>
      </c>
      <c r="K39" s="7">
        <v>1</v>
      </c>
      <c r="L39" s="7">
        <v>-8.6</v>
      </c>
      <c r="M39" t="str">
        <f t="shared" si="0"/>
        <v>medium risk</v>
      </c>
    </row>
    <row r="40" spans="1:13">
      <c r="A40" s="7" t="s">
        <v>110</v>
      </c>
      <c r="B40" s="9">
        <v>40635</v>
      </c>
      <c r="C40" s="7">
        <v>2011</v>
      </c>
      <c r="D40" s="7" t="s">
        <v>46</v>
      </c>
      <c r="E40" s="7" t="s">
        <v>47</v>
      </c>
      <c r="F40" s="7" t="s">
        <v>24</v>
      </c>
      <c r="G40" s="7">
        <v>348</v>
      </c>
      <c r="H40" s="7">
        <v>6</v>
      </c>
      <c r="I40" s="7" t="s">
        <v>25</v>
      </c>
      <c r="J40" s="7">
        <v>1</v>
      </c>
      <c r="K40" s="7">
        <v>0</v>
      </c>
      <c r="L40" s="7">
        <v>7</v>
      </c>
      <c r="M40" t="str">
        <f t="shared" si="0"/>
        <v>low risk</v>
      </c>
    </row>
    <row r="41" spans="1:13">
      <c r="A41" s="7" t="s">
        <v>111</v>
      </c>
      <c r="B41" s="9">
        <v>40757</v>
      </c>
      <c r="C41" s="7">
        <v>2011</v>
      </c>
      <c r="D41" s="7" t="s">
        <v>112</v>
      </c>
      <c r="E41" s="7" t="s">
        <v>76</v>
      </c>
      <c r="F41" s="7" t="s">
        <v>41</v>
      </c>
      <c r="G41" s="7">
        <v>1907</v>
      </c>
      <c r="H41" s="7">
        <v>37</v>
      </c>
      <c r="I41" s="7" t="s">
        <v>25</v>
      </c>
      <c r="J41" s="7">
        <v>1</v>
      </c>
      <c r="K41" s="7">
        <v>0</v>
      </c>
      <c r="L41" s="7">
        <v>-2.6</v>
      </c>
      <c r="M41" t="str">
        <f t="shared" si="0"/>
        <v>medium risk</v>
      </c>
    </row>
    <row r="42" spans="1:13">
      <c r="A42" s="7" t="s">
        <v>113</v>
      </c>
      <c r="B42" s="9" t="s">
        <v>114</v>
      </c>
      <c r="C42" s="7">
        <v>2011</v>
      </c>
      <c r="D42" s="7" t="s">
        <v>115</v>
      </c>
      <c r="E42" s="7" t="s">
        <v>76</v>
      </c>
      <c r="F42" s="7" t="s">
        <v>24</v>
      </c>
      <c r="G42" s="7">
        <v>104</v>
      </c>
      <c r="H42" s="7">
        <v>17</v>
      </c>
      <c r="I42" s="7" t="s">
        <v>35</v>
      </c>
      <c r="J42" s="7">
        <v>0</v>
      </c>
      <c r="K42" s="7">
        <v>1</v>
      </c>
      <c r="L42" s="7">
        <v>-16</v>
      </c>
      <c r="M42" t="str">
        <f t="shared" si="0"/>
        <v>low risk</v>
      </c>
    </row>
    <row r="43" spans="1:13">
      <c r="A43" s="7" t="s">
        <v>116</v>
      </c>
      <c r="B43" s="9" t="s">
        <v>117</v>
      </c>
      <c r="C43" s="7">
        <v>2011</v>
      </c>
      <c r="D43" s="7" t="s">
        <v>28</v>
      </c>
      <c r="E43" s="7" t="s">
        <v>76</v>
      </c>
      <c r="F43" s="7" t="s">
        <v>41</v>
      </c>
      <c r="G43" s="7">
        <v>1449</v>
      </c>
      <c r="H43" s="7">
        <v>42</v>
      </c>
      <c r="I43" s="7" t="s">
        <v>25</v>
      </c>
      <c r="J43" s="7">
        <v>1</v>
      </c>
      <c r="K43" s="7">
        <v>0</v>
      </c>
      <c r="L43" s="7">
        <v>5.4</v>
      </c>
      <c r="M43" t="str">
        <f t="shared" si="0"/>
        <v>medium risk</v>
      </c>
    </row>
    <row r="44" spans="1:13">
      <c r="A44" s="7" t="s">
        <v>118</v>
      </c>
      <c r="B44" s="9" t="s">
        <v>119</v>
      </c>
      <c r="C44" s="7">
        <v>2011</v>
      </c>
      <c r="D44" s="7" t="s">
        <v>68</v>
      </c>
      <c r="E44" s="7" t="s">
        <v>34</v>
      </c>
      <c r="F44" s="7" t="s">
        <v>24</v>
      </c>
      <c r="G44" s="7">
        <v>133</v>
      </c>
      <c r="H44" s="7">
        <v>10</v>
      </c>
      <c r="I44" s="7" t="s">
        <v>25</v>
      </c>
      <c r="J44" s="7">
        <v>1</v>
      </c>
      <c r="K44" s="7">
        <v>0</v>
      </c>
      <c r="L44" s="7">
        <v>21.6</v>
      </c>
      <c r="M44" t="str">
        <f t="shared" si="0"/>
        <v>low risk</v>
      </c>
    </row>
    <row r="45" spans="1:13">
      <c r="A45" s="7" t="s">
        <v>120</v>
      </c>
      <c r="B45" s="9">
        <v>40636</v>
      </c>
      <c r="C45" s="7">
        <v>2011</v>
      </c>
      <c r="D45" s="7" t="s">
        <v>37</v>
      </c>
      <c r="E45" s="7" t="s">
        <v>34</v>
      </c>
      <c r="F45" s="7" t="s">
        <v>41</v>
      </c>
      <c r="G45" s="7">
        <v>862</v>
      </c>
      <c r="H45" s="7">
        <v>28</v>
      </c>
      <c r="I45" s="7" t="s">
        <v>30</v>
      </c>
      <c r="J45" s="7">
        <v>0</v>
      </c>
      <c r="K45" s="7">
        <v>0</v>
      </c>
      <c r="L45" s="7">
        <v>-5.9</v>
      </c>
      <c r="M45" t="str">
        <f t="shared" si="0"/>
        <v>medium risk</v>
      </c>
    </row>
    <row r="46" spans="1:13">
      <c r="A46" s="7" t="s">
        <v>121</v>
      </c>
      <c r="B46" s="9">
        <v>40727</v>
      </c>
      <c r="C46" s="7">
        <v>2011</v>
      </c>
      <c r="D46" s="7" t="s">
        <v>101</v>
      </c>
      <c r="E46" s="7" t="s">
        <v>54</v>
      </c>
      <c r="F46" s="7" t="s">
        <v>41</v>
      </c>
      <c r="G46" s="7">
        <v>716</v>
      </c>
      <c r="H46" s="7">
        <v>32</v>
      </c>
      <c r="I46" s="7" t="s">
        <v>25</v>
      </c>
      <c r="J46" s="7">
        <v>1</v>
      </c>
      <c r="K46" s="7">
        <v>0</v>
      </c>
      <c r="L46" s="7">
        <v>6.4</v>
      </c>
      <c r="M46" t="str">
        <f t="shared" si="0"/>
        <v>medium risk</v>
      </c>
    </row>
    <row r="47" spans="1:13">
      <c r="A47" s="7" t="s">
        <v>122</v>
      </c>
      <c r="B47" s="9" t="s">
        <v>123</v>
      </c>
      <c r="C47" s="7">
        <v>2011</v>
      </c>
      <c r="D47" s="7" t="s">
        <v>115</v>
      </c>
      <c r="E47" s="7" t="s">
        <v>76</v>
      </c>
      <c r="F47" s="7" t="s">
        <v>41</v>
      </c>
      <c r="G47" s="7">
        <v>1007</v>
      </c>
      <c r="H47" s="7">
        <v>37</v>
      </c>
      <c r="I47" s="7" t="s">
        <v>25</v>
      </c>
      <c r="J47" s="7">
        <v>1</v>
      </c>
      <c r="K47" s="7">
        <v>0</v>
      </c>
      <c r="L47" s="7">
        <v>6.9</v>
      </c>
      <c r="M47" t="str">
        <f t="shared" si="0"/>
        <v>medium risk</v>
      </c>
    </row>
    <row r="48" spans="1:13">
      <c r="A48" s="7" t="s">
        <v>124</v>
      </c>
      <c r="B48" s="9">
        <v>40820</v>
      </c>
      <c r="C48" s="7">
        <v>2011</v>
      </c>
      <c r="D48" s="7" t="s">
        <v>22</v>
      </c>
      <c r="E48" s="7" t="s">
        <v>78</v>
      </c>
      <c r="F48" s="7" t="s">
        <v>41</v>
      </c>
      <c r="G48" s="7">
        <v>711</v>
      </c>
      <c r="H48" s="7">
        <v>34</v>
      </c>
      <c r="I48" s="7" t="s">
        <v>25</v>
      </c>
      <c r="J48" s="7">
        <v>1</v>
      </c>
      <c r="K48" s="7">
        <v>0</v>
      </c>
      <c r="L48" s="7">
        <v>14.5</v>
      </c>
      <c r="M48" t="str">
        <f t="shared" si="0"/>
        <v>medium risk</v>
      </c>
    </row>
    <row r="49" spans="1:13">
      <c r="A49" s="7" t="s">
        <v>125</v>
      </c>
      <c r="B49" s="9">
        <v>40851</v>
      </c>
      <c r="C49" s="7">
        <v>2011</v>
      </c>
      <c r="D49" s="7" t="s">
        <v>66</v>
      </c>
      <c r="E49" s="7" t="s">
        <v>34</v>
      </c>
      <c r="F49" s="7" t="s">
        <v>24</v>
      </c>
      <c r="G49" s="7">
        <v>142</v>
      </c>
      <c r="H49" s="7">
        <v>18</v>
      </c>
      <c r="I49" s="7" t="s">
        <v>30</v>
      </c>
      <c r="J49" s="7">
        <v>0</v>
      </c>
      <c r="K49" s="7">
        <v>0</v>
      </c>
      <c r="L49" s="7">
        <v>-13.4</v>
      </c>
      <c r="M49" t="str">
        <f t="shared" si="0"/>
        <v>low risk</v>
      </c>
    </row>
    <row r="50" spans="1:13">
      <c r="A50" s="7" t="s">
        <v>126</v>
      </c>
      <c r="B50" s="9" t="s">
        <v>127</v>
      </c>
      <c r="C50" s="7">
        <v>2011</v>
      </c>
      <c r="D50" s="7" t="s">
        <v>96</v>
      </c>
      <c r="E50" s="7" t="s">
        <v>23</v>
      </c>
      <c r="F50" s="7" t="s">
        <v>24</v>
      </c>
      <c r="G50" s="7">
        <v>270</v>
      </c>
      <c r="H50" s="7">
        <v>9</v>
      </c>
      <c r="I50" s="7" t="s">
        <v>25</v>
      </c>
      <c r="J50" s="7">
        <v>1</v>
      </c>
      <c r="K50" s="7">
        <v>0</v>
      </c>
      <c r="L50" s="7">
        <v>16.100000000000001</v>
      </c>
      <c r="M50" t="str">
        <f t="shared" si="0"/>
        <v>low risk</v>
      </c>
    </row>
    <row r="51" spans="1:13">
      <c r="A51" s="7" t="s">
        <v>128</v>
      </c>
      <c r="B51" s="9">
        <v>40638</v>
      </c>
      <c r="C51" s="7">
        <v>2011</v>
      </c>
      <c r="D51" s="7" t="s">
        <v>40</v>
      </c>
      <c r="E51" s="7" t="s">
        <v>76</v>
      </c>
      <c r="F51" s="7" t="s">
        <v>24</v>
      </c>
      <c r="G51" s="7">
        <v>121</v>
      </c>
      <c r="H51" s="7">
        <v>27</v>
      </c>
      <c r="I51" s="7" t="s">
        <v>30</v>
      </c>
      <c r="J51" s="7">
        <v>0</v>
      </c>
      <c r="K51" s="7">
        <v>0</v>
      </c>
      <c r="L51" s="7">
        <v>-4.5999999999999996</v>
      </c>
      <c r="M51" t="str">
        <f t="shared" si="0"/>
        <v>low risk</v>
      </c>
    </row>
    <row r="52" spans="1:13">
      <c r="A52" s="7" t="s">
        <v>129</v>
      </c>
      <c r="B52" s="9">
        <v>40852</v>
      </c>
      <c r="C52" s="7">
        <v>2011</v>
      </c>
      <c r="D52" s="7" t="s">
        <v>96</v>
      </c>
      <c r="E52" s="7" t="s">
        <v>34</v>
      </c>
      <c r="F52" s="7" t="s">
        <v>24</v>
      </c>
      <c r="G52" s="7">
        <v>556</v>
      </c>
      <c r="H52" s="7">
        <v>20</v>
      </c>
      <c r="I52" s="7" t="s">
        <v>25</v>
      </c>
      <c r="J52" s="7">
        <v>1</v>
      </c>
      <c r="K52" s="7">
        <v>0</v>
      </c>
      <c r="L52" s="7">
        <v>10.5</v>
      </c>
      <c r="M52" t="str">
        <f t="shared" si="0"/>
        <v>medium risk</v>
      </c>
    </row>
    <row r="53" spans="1:13">
      <c r="A53" s="7" t="s">
        <v>130</v>
      </c>
      <c r="B53" s="9" t="s">
        <v>131</v>
      </c>
      <c r="C53" s="7">
        <v>2011</v>
      </c>
      <c r="D53" s="7" t="s">
        <v>22</v>
      </c>
      <c r="E53" s="7" t="s">
        <v>34</v>
      </c>
      <c r="F53" s="7" t="s">
        <v>41</v>
      </c>
      <c r="G53" s="7">
        <v>834</v>
      </c>
      <c r="H53" s="7">
        <v>35</v>
      </c>
      <c r="I53" s="7" t="s">
        <v>35</v>
      </c>
      <c r="J53" s="7">
        <v>0</v>
      </c>
      <c r="K53" s="7">
        <v>1</v>
      </c>
      <c r="L53" s="7">
        <v>-17.2</v>
      </c>
      <c r="M53" t="str">
        <f t="shared" si="0"/>
        <v>medium risk</v>
      </c>
    </row>
    <row r="54" spans="1:13">
      <c r="A54" s="7" t="s">
        <v>132</v>
      </c>
      <c r="B54" s="9">
        <v>40580</v>
      </c>
      <c r="C54" s="7">
        <v>2011</v>
      </c>
      <c r="D54" s="7" t="s">
        <v>58</v>
      </c>
      <c r="E54" s="7" t="s">
        <v>76</v>
      </c>
      <c r="F54" s="7" t="s">
        <v>41</v>
      </c>
      <c r="G54" s="7">
        <v>1416</v>
      </c>
      <c r="H54" s="7">
        <v>34</v>
      </c>
      <c r="I54" s="7" t="s">
        <v>35</v>
      </c>
      <c r="J54" s="7">
        <v>0</v>
      </c>
      <c r="K54" s="7">
        <v>1</v>
      </c>
      <c r="L54" s="7">
        <v>-33.1</v>
      </c>
      <c r="M54" t="str">
        <f t="shared" si="0"/>
        <v>medium risk</v>
      </c>
    </row>
    <row r="55" spans="1:13">
      <c r="A55" s="7" t="s">
        <v>133</v>
      </c>
      <c r="B55" s="9">
        <v>40580</v>
      </c>
      <c r="C55" s="7">
        <v>2011</v>
      </c>
      <c r="D55" s="7" t="s">
        <v>66</v>
      </c>
      <c r="E55" s="7" t="s">
        <v>34</v>
      </c>
      <c r="F55" s="7" t="s">
        <v>41</v>
      </c>
      <c r="G55" s="7">
        <v>923</v>
      </c>
      <c r="H55" s="7">
        <v>27</v>
      </c>
      <c r="I55" s="7" t="s">
        <v>35</v>
      </c>
      <c r="J55" s="7">
        <v>0</v>
      </c>
      <c r="K55" s="7">
        <v>1</v>
      </c>
      <c r="L55" s="7">
        <v>-17.600000000000001</v>
      </c>
      <c r="M55" t="str">
        <f t="shared" si="0"/>
        <v>medium risk</v>
      </c>
    </row>
    <row r="56" spans="1:13">
      <c r="A56" s="7" t="s">
        <v>134</v>
      </c>
      <c r="B56" s="9">
        <v>40608</v>
      </c>
      <c r="C56" s="7">
        <v>2011</v>
      </c>
      <c r="D56" s="7" t="s">
        <v>46</v>
      </c>
      <c r="E56" s="7" t="s">
        <v>83</v>
      </c>
      <c r="F56" s="7" t="s">
        <v>24</v>
      </c>
      <c r="G56" s="7">
        <v>145</v>
      </c>
      <c r="H56" s="7">
        <v>23</v>
      </c>
      <c r="I56" s="7" t="s">
        <v>30</v>
      </c>
      <c r="J56" s="7">
        <v>0</v>
      </c>
      <c r="K56" s="7">
        <v>0</v>
      </c>
      <c r="L56" s="7">
        <v>-4.4000000000000004</v>
      </c>
      <c r="M56" t="str">
        <f t="shared" si="0"/>
        <v>low risk</v>
      </c>
    </row>
    <row r="57" spans="1:13">
      <c r="A57" s="7" t="s">
        <v>135</v>
      </c>
      <c r="B57" s="9">
        <v>40608</v>
      </c>
      <c r="C57" s="7">
        <v>2011</v>
      </c>
      <c r="D57" s="7" t="s">
        <v>37</v>
      </c>
      <c r="E57" s="7" t="s">
        <v>83</v>
      </c>
      <c r="F57" s="7" t="s">
        <v>41</v>
      </c>
      <c r="G57" s="7">
        <v>1010</v>
      </c>
      <c r="H57" s="7">
        <v>44</v>
      </c>
      <c r="I57" s="7" t="s">
        <v>35</v>
      </c>
      <c r="J57" s="7">
        <v>0</v>
      </c>
      <c r="K57" s="7">
        <v>1</v>
      </c>
      <c r="L57" s="7">
        <v>-35.799999999999997</v>
      </c>
      <c r="M57" t="str">
        <f t="shared" si="0"/>
        <v>medium risk</v>
      </c>
    </row>
    <row r="58" spans="1:13">
      <c r="A58" s="7" t="s">
        <v>136</v>
      </c>
      <c r="B58" s="9" t="s">
        <v>137</v>
      </c>
      <c r="C58" s="7">
        <v>2011</v>
      </c>
      <c r="D58" s="7" t="s">
        <v>115</v>
      </c>
      <c r="E58" s="7" t="s">
        <v>38</v>
      </c>
      <c r="F58" s="7" t="s">
        <v>41</v>
      </c>
      <c r="G58" s="7">
        <v>489</v>
      </c>
      <c r="H58" s="7">
        <v>40</v>
      </c>
      <c r="I58" s="7" t="s">
        <v>25</v>
      </c>
      <c r="J58" s="7">
        <v>1</v>
      </c>
      <c r="K58" s="7">
        <v>0</v>
      </c>
      <c r="L58" s="7">
        <v>1.3</v>
      </c>
      <c r="M58" t="str">
        <f t="shared" si="0"/>
        <v>low risk</v>
      </c>
    </row>
    <row r="59" spans="1:13">
      <c r="A59" s="7" t="s">
        <v>138</v>
      </c>
      <c r="B59" s="9" t="s">
        <v>139</v>
      </c>
      <c r="C59" s="7">
        <v>2011</v>
      </c>
      <c r="D59" s="7" t="s">
        <v>68</v>
      </c>
      <c r="E59" s="7" t="s">
        <v>34</v>
      </c>
      <c r="F59" s="7" t="s">
        <v>24</v>
      </c>
      <c r="G59" s="7">
        <v>350</v>
      </c>
      <c r="H59" s="7">
        <v>26</v>
      </c>
      <c r="I59" s="7" t="s">
        <v>30</v>
      </c>
      <c r="J59" s="7">
        <v>0</v>
      </c>
      <c r="K59" s="7">
        <v>0</v>
      </c>
      <c r="L59" s="7">
        <v>-6.5</v>
      </c>
      <c r="M59" t="str">
        <f t="shared" si="0"/>
        <v>low risk</v>
      </c>
    </row>
    <row r="60" spans="1:13">
      <c r="A60" s="7" t="s">
        <v>140</v>
      </c>
      <c r="B60" s="9" t="s">
        <v>141</v>
      </c>
      <c r="C60" s="7">
        <v>2011</v>
      </c>
      <c r="D60" s="7" t="s">
        <v>51</v>
      </c>
      <c r="E60" s="7" t="s">
        <v>29</v>
      </c>
      <c r="F60" s="7" t="s">
        <v>24</v>
      </c>
      <c r="G60" s="7">
        <v>360</v>
      </c>
      <c r="H60" s="7">
        <v>22</v>
      </c>
      <c r="I60" s="7" t="s">
        <v>25</v>
      </c>
      <c r="J60" s="7">
        <v>1</v>
      </c>
      <c r="K60" s="7">
        <v>0</v>
      </c>
      <c r="L60" s="7">
        <v>1.1000000000000001</v>
      </c>
      <c r="M60" t="str">
        <f t="shared" si="0"/>
        <v>low risk</v>
      </c>
    </row>
    <row r="61" spans="1:13">
      <c r="A61" s="7" t="s">
        <v>142</v>
      </c>
      <c r="B61" s="9">
        <v>40550</v>
      </c>
      <c r="C61" s="7">
        <v>2011</v>
      </c>
      <c r="D61" s="7" t="s">
        <v>46</v>
      </c>
      <c r="E61" s="7" t="s">
        <v>63</v>
      </c>
      <c r="F61" s="7" t="s">
        <v>24</v>
      </c>
      <c r="G61" s="7">
        <v>375</v>
      </c>
      <c r="H61" s="7">
        <v>6</v>
      </c>
      <c r="I61" s="7" t="s">
        <v>25</v>
      </c>
      <c r="J61" s="7">
        <v>1</v>
      </c>
      <c r="K61" s="7">
        <v>0</v>
      </c>
      <c r="L61" s="7">
        <v>4.8</v>
      </c>
      <c r="M61" t="str">
        <f t="shared" si="0"/>
        <v>low risk</v>
      </c>
    </row>
    <row r="62" spans="1:13">
      <c r="A62" s="7" t="s">
        <v>143</v>
      </c>
      <c r="B62" s="9">
        <v>40731</v>
      </c>
      <c r="C62" s="7">
        <v>2011</v>
      </c>
      <c r="D62" s="7" t="s">
        <v>144</v>
      </c>
      <c r="E62" s="7" t="s">
        <v>83</v>
      </c>
      <c r="F62" s="7" t="s">
        <v>24</v>
      </c>
      <c r="G62" s="7">
        <v>134</v>
      </c>
      <c r="H62" s="7">
        <v>28</v>
      </c>
      <c r="I62" s="7" t="s">
        <v>25</v>
      </c>
      <c r="J62" s="7">
        <v>1</v>
      </c>
      <c r="K62" s="7">
        <v>0</v>
      </c>
      <c r="L62" s="7">
        <v>6.4</v>
      </c>
      <c r="M62" t="str">
        <f t="shared" si="0"/>
        <v>low risk</v>
      </c>
    </row>
    <row r="63" spans="1:13">
      <c r="A63" s="7" t="s">
        <v>145</v>
      </c>
      <c r="B63" s="9">
        <v>40823</v>
      </c>
      <c r="C63" s="7">
        <v>2011</v>
      </c>
      <c r="D63" s="7" t="s">
        <v>75</v>
      </c>
      <c r="E63" s="7" t="s">
        <v>76</v>
      </c>
      <c r="F63" s="7" t="s">
        <v>41</v>
      </c>
      <c r="G63" s="7">
        <v>689</v>
      </c>
      <c r="H63" s="7">
        <v>42</v>
      </c>
      <c r="I63" s="7" t="s">
        <v>35</v>
      </c>
      <c r="J63" s="7">
        <v>0</v>
      </c>
      <c r="K63" s="7">
        <v>1</v>
      </c>
      <c r="L63" s="7">
        <v>-0.9</v>
      </c>
      <c r="M63" t="str">
        <f t="shared" si="0"/>
        <v>medium risk</v>
      </c>
    </row>
    <row r="64" spans="1:13">
      <c r="A64" s="7" t="s">
        <v>146</v>
      </c>
      <c r="B64" s="9">
        <v>40884</v>
      </c>
      <c r="C64" s="7">
        <v>2011</v>
      </c>
      <c r="D64" s="7" t="s">
        <v>46</v>
      </c>
      <c r="E64" s="7" t="s">
        <v>29</v>
      </c>
      <c r="F64" s="7" t="s">
        <v>24</v>
      </c>
      <c r="G64" s="7">
        <v>200</v>
      </c>
      <c r="H64" s="7">
        <v>14</v>
      </c>
      <c r="I64" s="7" t="s">
        <v>30</v>
      </c>
      <c r="J64" s="7">
        <v>0</v>
      </c>
      <c r="K64" s="7">
        <v>0</v>
      </c>
      <c r="L64" s="7">
        <v>-3</v>
      </c>
      <c r="M64" t="str">
        <f t="shared" si="0"/>
        <v>low risk</v>
      </c>
    </row>
    <row r="65" spans="1:13">
      <c r="A65" s="7" t="s">
        <v>147</v>
      </c>
      <c r="B65" s="9" t="s">
        <v>148</v>
      </c>
      <c r="C65" s="7">
        <v>2011</v>
      </c>
      <c r="D65" s="7" t="s">
        <v>22</v>
      </c>
      <c r="E65" s="7" t="s">
        <v>47</v>
      </c>
      <c r="F65" s="7" t="s">
        <v>24</v>
      </c>
      <c r="G65" s="7">
        <v>210</v>
      </c>
      <c r="H65" s="7">
        <v>21</v>
      </c>
      <c r="I65" s="7" t="s">
        <v>25</v>
      </c>
      <c r="J65" s="7">
        <v>1</v>
      </c>
      <c r="K65" s="7">
        <v>0</v>
      </c>
      <c r="L65" s="7">
        <v>4.8</v>
      </c>
      <c r="M65" t="str">
        <f t="shared" si="0"/>
        <v>low risk</v>
      </c>
    </row>
    <row r="66" spans="1:13">
      <c r="A66" s="7" t="s">
        <v>149</v>
      </c>
      <c r="B66" s="9" t="s">
        <v>150</v>
      </c>
      <c r="C66" s="7">
        <v>2011</v>
      </c>
      <c r="D66" s="7" t="s">
        <v>101</v>
      </c>
      <c r="E66" s="7" t="s">
        <v>78</v>
      </c>
      <c r="F66" s="7" t="s">
        <v>41</v>
      </c>
      <c r="G66" s="7">
        <v>836</v>
      </c>
      <c r="H66" s="7">
        <v>32</v>
      </c>
      <c r="I66" s="7" t="s">
        <v>25</v>
      </c>
      <c r="J66" s="7">
        <v>1</v>
      </c>
      <c r="K66" s="7">
        <v>0</v>
      </c>
      <c r="L66" s="7">
        <v>12.8</v>
      </c>
      <c r="M66" t="str">
        <f t="shared" si="0"/>
        <v>medium risk</v>
      </c>
    </row>
    <row r="67" spans="1:13">
      <c r="A67" s="7" t="s">
        <v>151</v>
      </c>
      <c r="B67" s="9">
        <v>40610</v>
      </c>
      <c r="C67" s="7">
        <v>2011</v>
      </c>
      <c r="D67" s="7" t="s">
        <v>51</v>
      </c>
      <c r="E67" s="7" t="s">
        <v>34</v>
      </c>
      <c r="F67" s="7" t="s">
        <v>41</v>
      </c>
      <c r="G67" s="7">
        <v>1818</v>
      </c>
      <c r="H67" s="7">
        <v>30</v>
      </c>
      <c r="I67" s="7" t="s">
        <v>25</v>
      </c>
      <c r="J67" s="7">
        <v>1</v>
      </c>
      <c r="K67" s="7">
        <v>0</v>
      </c>
      <c r="L67" s="7">
        <v>-1.1000000000000001</v>
      </c>
      <c r="M67" t="str">
        <f t="shared" ref="M67:M130" si="1">IF(G67&gt;2000,"high risk",IF(G67&gt;500,"medium risk","low risk"))</f>
        <v>medium risk</v>
      </c>
    </row>
    <row r="68" spans="1:13">
      <c r="A68" s="7" t="s">
        <v>152</v>
      </c>
      <c r="B68" s="9" t="s">
        <v>153</v>
      </c>
      <c r="C68" s="7">
        <v>2011</v>
      </c>
      <c r="D68" s="7" t="s">
        <v>58</v>
      </c>
      <c r="E68" s="7" t="s">
        <v>34</v>
      </c>
      <c r="F68" s="7" t="s">
        <v>41</v>
      </c>
      <c r="G68" s="7">
        <v>498</v>
      </c>
      <c r="H68" s="7">
        <v>29</v>
      </c>
      <c r="I68" s="7" t="s">
        <v>35</v>
      </c>
      <c r="J68" s="7">
        <v>0</v>
      </c>
      <c r="K68" s="7">
        <v>1</v>
      </c>
      <c r="L68" s="7">
        <v>-0.5</v>
      </c>
      <c r="M68" t="str">
        <f t="shared" si="1"/>
        <v>low risk</v>
      </c>
    </row>
    <row r="69" spans="1:13">
      <c r="A69" s="7" t="s">
        <v>154</v>
      </c>
      <c r="B69" s="9" t="s">
        <v>155</v>
      </c>
      <c r="C69" s="7">
        <v>2011</v>
      </c>
      <c r="D69" s="7" t="s">
        <v>156</v>
      </c>
      <c r="E69" s="7" t="s">
        <v>29</v>
      </c>
      <c r="F69" s="7" t="s">
        <v>24</v>
      </c>
      <c r="G69" s="7">
        <v>148</v>
      </c>
      <c r="H69" s="7">
        <v>9</v>
      </c>
      <c r="I69" s="7" t="s">
        <v>25</v>
      </c>
      <c r="J69" s="7">
        <v>1</v>
      </c>
      <c r="K69" s="7">
        <v>0</v>
      </c>
      <c r="L69" s="7">
        <v>10.7</v>
      </c>
      <c r="M69" t="str">
        <f t="shared" si="1"/>
        <v>low risk</v>
      </c>
    </row>
    <row r="70" spans="1:13">
      <c r="A70" s="7" t="s">
        <v>157</v>
      </c>
      <c r="B70" s="9">
        <v>40734</v>
      </c>
      <c r="C70" s="7">
        <v>2011</v>
      </c>
      <c r="D70" s="7" t="s">
        <v>101</v>
      </c>
      <c r="E70" s="7" t="s">
        <v>34</v>
      </c>
      <c r="F70" s="7" t="s">
        <v>24</v>
      </c>
      <c r="G70" s="7">
        <v>251</v>
      </c>
      <c r="H70" s="7">
        <v>18</v>
      </c>
      <c r="I70" s="7" t="s">
        <v>30</v>
      </c>
      <c r="J70" s="7">
        <v>0</v>
      </c>
      <c r="K70" s="7">
        <v>0</v>
      </c>
      <c r="L70" s="7">
        <v>-1.7</v>
      </c>
      <c r="M70" t="str">
        <f t="shared" si="1"/>
        <v>low risk</v>
      </c>
    </row>
    <row r="71" spans="1:13">
      <c r="A71" s="7" t="s">
        <v>158</v>
      </c>
      <c r="B71" s="9">
        <v>40765</v>
      </c>
      <c r="C71" s="7">
        <v>2011</v>
      </c>
      <c r="D71" s="7" t="s">
        <v>101</v>
      </c>
      <c r="E71" s="7" t="s">
        <v>54</v>
      </c>
      <c r="F71" s="7" t="s">
        <v>24</v>
      </c>
      <c r="G71" s="7">
        <v>163</v>
      </c>
      <c r="H71" s="7">
        <v>10</v>
      </c>
      <c r="I71" s="7" t="s">
        <v>25</v>
      </c>
      <c r="J71" s="7">
        <v>1</v>
      </c>
      <c r="K71" s="7">
        <v>0</v>
      </c>
      <c r="L71" s="7">
        <v>4.8</v>
      </c>
      <c r="M71" t="str">
        <f t="shared" si="1"/>
        <v>low risk</v>
      </c>
    </row>
    <row r="72" spans="1:13">
      <c r="A72" s="7" t="s">
        <v>159</v>
      </c>
      <c r="B72" s="9">
        <v>40554</v>
      </c>
      <c r="C72" s="7">
        <v>2011</v>
      </c>
      <c r="D72" s="7" t="s">
        <v>58</v>
      </c>
      <c r="E72" s="7" t="s">
        <v>47</v>
      </c>
      <c r="F72" s="7" t="s">
        <v>41</v>
      </c>
      <c r="G72" s="7">
        <v>1179</v>
      </c>
      <c r="H72" s="7">
        <v>45</v>
      </c>
      <c r="I72" s="7" t="s">
        <v>25</v>
      </c>
      <c r="J72" s="7">
        <v>1</v>
      </c>
      <c r="K72" s="7">
        <v>0</v>
      </c>
      <c r="L72" s="7">
        <v>7.6</v>
      </c>
      <c r="M72" t="str">
        <f t="shared" si="1"/>
        <v>medium risk</v>
      </c>
    </row>
    <row r="73" spans="1:13">
      <c r="A73" s="7" t="s">
        <v>160</v>
      </c>
      <c r="B73" s="9">
        <v>40674</v>
      </c>
      <c r="C73" s="7">
        <v>2011</v>
      </c>
      <c r="D73" s="7" t="s">
        <v>66</v>
      </c>
      <c r="E73" s="7" t="s">
        <v>38</v>
      </c>
      <c r="F73" s="7" t="s">
        <v>41</v>
      </c>
      <c r="G73" s="7">
        <v>1639</v>
      </c>
      <c r="H73" s="7">
        <v>19</v>
      </c>
      <c r="I73" s="7" t="s">
        <v>30</v>
      </c>
      <c r="J73" s="7">
        <v>0</v>
      </c>
      <c r="K73" s="7">
        <v>0</v>
      </c>
      <c r="L73" s="7">
        <v>-0.8</v>
      </c>
      <c r="M73" t="str">
        <f t="shared" si="1"/>
        <v>medium risk</v>
      </c>
    </row>
    <row r="74" spans="1:13">
      <c r="A74" s="7" t="s">
        <v>161</v>
      </c>
      <c r="B74" s="9" t="s">
        <v>162</v>
      </c>
      <c r="C74" s="7">
        <v>2011</v>
      </c>
      <c r="D74" s="7" t="s">
        <v>40</v>
      </c>
      <c r="E74" s="7" t="s">
        <v>38</v>
      </c>
      <c r="F74" s="7" t="s">
        <v>24</v>
      </c>
      <c r="G74" s="7">
        <v>125</v>
      </c>
      <c r="H74" s="7">
        <v>22</v>
      </c>
      <c r="I74" s="7" t="s">
        <v>25</v>
      </c>
      <c r="J74" s="7">
        <v>1</v>
      </c>
      <c r="K74" s="7">
        <v>0</v>
      </c>
      <c r="L74" s="7">
        <v>2.6</v>
      </c>
      <c r="M74" t="str">
        <f t="shared" si="1"/>
        <v>low risk</v>
      </c>
    </row>
    <row r="75" spans="1:13">
      <c r="A75" s="7" t="s">
        <v>163</v>
      </c>
      <c r="B75" s="9">
        <v>40767</v>
      </c>
      <c r="C75" s="7">
        <v>2011</v>
      </c>
      <c r="D75" s="7" t="s">
        <v>68</v>
      </c>
      <c r="E75" s="7" t="s">
        <v>47</v>
      </c>
      <c r="F75" s="7" t="s">
        <v>24</v>
      </c>
      <c r="G75" s="7">
        <v>274</v>
      </c>
      <c r="H75" s="7">
        <v>18</v>
      </c>
      <c r="I75" s="7" t="s">
        <v>25</v>
      </c>
      <c r="J75" s="7">
        <v>1</v>
      </c>
      <c r="K75" s="7">
        <v>0</v>
      </c>
      <c r="L75" s="7">
        <v>0.7</v>
      </c>
      <c r="M75" t="str">
        <f t="shared" si="1"/>
        <v>low risk</v>
      </c>
    </row>
    <row r="76" spans="1:13">
      <c r="A76" s="7" t="s">
        <v>164</v>
      </c>
      <c r="B76" s="9">
        <v>40859</v>
      </c>
      <c r="C76" s="7">
        <v>2011</v>
      </c>
      <c r="D76" s="7" t="s">
        <v>75</v>
      </c>
      <c r="E76" s="7" t="s">
        <v>34</v>
      </c>
      <c r="F76" s="7" t="s">
        <v>41</v>
      </c>
      <c r="G76" s="7">
        <v>1190</v>
      </c>
      <c r="H76" s="7">
        <v>44</v>
      </c>
      <c r="I76" s="7" t="s">
        <v>30</v>
      </c>
      <c r="J76" s="7">
        <v>0</v>
      </c>
      <c r="K76" s="7">
        <v>0</v>
      </c>
      <c r="L76" s="7">
        <v>-6</v>
      </c>
      <c r="M76" t="str">
        <f t="shared" si="1"/>
        <v>medium risk</v>
      </c>
    </row>
    <row r="77" spans="1:13">
      <c r="A77" s="7" t="s">
        <v>165</v>
      </c>
      <c r="B77" s="9" t="s">
        <v>166</v>
      </c>
      <c r="C77" s="7">
        <v>2011</v>
      </c>
      <c r="D77" s="7" t="s">
        <v>33</v>
      </c>
      <c r="E77" s="7" t="s">
        <v>23</v>
      </c>
      <c r="F77" s="7" t="s">
        <v>24</v>
      </c>
      <c r="G77" s="7">
        <v>250</v>
      </c>
      <c r="H77" s="7">
        <v>12</v>
      </c>
      <c r="I77" s="7" t="s">
        <v>30</v>
      </c>
      <c r="J77" s="7">
        <v>0</v>
      </c>
      <c r="K77" s="7">
        <v>0</v>
      </c>
      <c r="L77" s="7">
        <v>0.1</v>
      </c>
      <c r="M77" t="str">
        <f t="shared" si="1"/>
        <v>low risk</v>
      </c>
    </row>
    <row r="78" spans="1:13">
      <c r="A78" s="7" t="s">
        <v>167</v>
      </c>
      <c r="B78" s="9">
        <v>40940</v>
      </c>
      <c r="C78" s="7">
        <v>2012</v>
      </c>
      <c r="D78" s="7" t="s">
        <v>96</v>
      </c>
      <c r="E78" s="7" t="s">
        <v>34</v>
      </c>
      <c r="F78" s="7" t="s">
        <v>41</v>
      </c>
      <c r="G78" s="7">
        <v>1631</v>
      </c>
      <c r="H78" s="7">
        <v>32</v>
      </c>
      <c r="I78" s="7" t="s">
        <v>35</v>
      </c>
      <c r="J78" s="7">
        <v>0</v>
      </c>
      <c r="K78" s="7">
        <v>1</v>
      </c>
      <c r="L78" s="7">
        <v>2.2000000000000002</v>
      </c>
      <c r="M78" t="str">
        <f t="shared" si="1"/>
        <v>medium risk</v>
      </c>
    </row>
    <row r="79" spans="1:13">
      <c r="A79" s="7" t="s">
        <v>168</v>
      </c>
      <c r="B79" s="9">
        <v>40910</v>
      </c>
      <c r="C79" s="7">
        <v>2012</v>
      </c>
      <c r="D79" s="7" t="s">
        <v>96</v>
      </c>
      <c r="E79" s="7" t="s">
        <v>23</v>
      </c>
      <c r="F79" s="7" t="s">
        <v>41</v>
      </c>
      <c r="G79" s="7">
        <v>484</v>
      </c>
      <c r="H79" s="7">
        <v>43</v>
      </c>
      <c r="I79" s="7" t="s">
        <v>35</v>
      </c>
      <c r="J79" s="7">
        <v>0</v>
      </c>
      <c r="K79" s="7">
        <v>1</v>
      </c>
      <c r="L79" s="7">
        <v>-11.2</v>
      </c>
      <c r="M79" t="str">
        <f t="shared" si="1"/>
        <v>low risk</v>
      </c>
    </row>
    <row r="80" spans="1:13">
      <c r="A80" s="7" t="s">
        <v>169</v>
      </c>
      <c r="B80" s="9">
        <v>40910</v>
      </c>
      <c r="C80" s="7">
        <v>2012</v>
      </c>
      <c r="D80" s="7" t="s">
        <v>40</v>
      </c>
      <c r="E80" s="7" t="s">
        <v>29</v>
      </c>
      <c r="F80" s="7" t="s">
        <v>24</v>
      </c>
      <c r="G80" s="7">
        <v>192</v>
      </c>
      <c r="H80" s="7">
        <v>25</v>
      </c>
      <c r="I80" s="7" t="s">
        <v>25</v>
      </c>
      <c r="J80" s="7">
        <v>1</v>
      </c>
      <c r="K80" s="7">
        <v>0</v>
      </c>
      <c r="L80" s="7">
        <v>7.8</v>
      </c>
      <c r="M80" t="str">
        <f t="shared" si="1"/>
        <v>low risk</v>
      </c>
    </row>
    <row r="81" spans="1:13">
      <c r="A81" s="7" t="s">
        <v>170</v>
      </c>
      <c r="B81" s="9">
        <v>41123</v>
      </c>
      <c r="C81" s="7">
        <v>2012</v>
      </c>
      <c r="D81" s="7" t="s">
        <v>75</v>
      </c>
      <c r="E81" s="7" t="s">
        <v>34</v>
      </c>
      <c r="F81" s="7" t="s">
        <v>41</v>
      </c>
      <c r="G81" s="7">
        <v>356</v>
      </c>
      <c r="H81" s="7">
        <v>28</v>
      </c>
      <c r="I81" s="7" t="s">
        <v>35</v>
      </c>
      <c r="J81" s="7">
        <v>0</v>
      </c>
      <c r="K81" s="7">
        <v>1</v>
      </c>
      <c r="L81" s="7">
        <v>-26.5</v>
      </c>
      <c r="M81" t="str">
        <f t="shared" si="1"/>
        <v>low risk</v>
      </c>
    </row>
    <row r="82" spans="1:13">
      <c r="A82" s="7" t="s">
        <v>171</v>
      </c>
      <c r="B82" s="9">
        <v>41184</v>
      </c>
      <c r="C82" s="7">
        <v>2012</v>
      </c>
      <c r="D82" s="7" t="s">
        <v>68</v>
      </c>
      <c r="E82" s="7" t="s">
        <v>23</v>
      </c>
      <c r="F82" s="7" t="s">
        <v>41</v>
      </c>
      <c r="G82" s="7">
        <v>551</v>
      </c>
      <c r="H82" s="7">
        <v>38</v>
      </c>
      <c r="I82" s="7" t="s">
        <v>25</v>
      </c>
      <c r="J82" s="7">
        <v>1</v>
      </c>
      <c r="K82" s="7">
        <v>0</v>
      </c>
      <c r="L82" s="7">
        <v>8.3000000000000007</v>
      </c>
      <c r="M82" t="str">
        <f t="shared" si="1"/>
        <v>medium risk</v>
      </c>
    </row>
    <row r="83" spans="1:13">
      <c r="A83" s="7" t="s">
        <v>172</v>
      </c>
      <c r="B83" s="9">
        <v>41215</v>
      </c>
      <c r="C83" s="7">
        <v>2012</v>
      </c>
      <c r="D83" s="7" t="s">
        <v>40</v>
      </c>
      <c r="E83" s="7" t="s">
        <v>38</v>
      </c>
      <c r="F83" s="7" t="s">
        <v>41</v>
      </c>
      <c r="G83" s="7">
        <v>1990</v>
      </c>
      <c r="H83" s="7">
        <v>37</v>
      </c>
      <c r="I83" s="7" t="s">
        <v>25</v>
      </c>
      <c r="J83" s="7">
        <v>1</v>
      </c>
      <c r="K83" s="7">
        <v>0</v>
      </c>
      <c r="L83" s="7">
        <v>14.1</v>
      </c>
      <c r="M83" t="str">
        <f t="shared" si="1"/>
        <v>medium risk</v>
      </c>
    </row>
    <row r="84" spans="1:13">
      <c r="A84" s="7" t="s">
        <v>173</v>
      </c>
      <c r="B84" s="9">
        <v>41215</v>
      </c>
      <c r="C84" s="7">
        <v>2012</v>
      </c>
      <c r="D84" s="7" t="s">
        <v>174</v>
      </c>
      <c r="E84" s="7" t="s">
        <v>83</v>
      </c>
      <c r="F84" s="7" t="s">
        <v>24</v>
      </c>
      <c r="G84" s="7">
        <v>438</v>
      </c>
      <c r="H84" s="7">
        <v>10</v>
      </c>
      <c r="I84" s="7" t="s">
        <v>25</v>
      </c>
      <c r="J84" s="7">
        <v>1</v>
      </c>
      <c r="K84" s="7">
        <v>0</v>
      </c>
      <c r="L84" s="7">
        <v>6.7</v>
      </c>
      <c r="M84" t="str">
        <f t="shared" si="1"/>
        <v>low risk</v>
      </c>
    </row>
    <row r="85" spans="1:13">
      <c r="A85" s="7" t="s">
        <v>175</v>
      </c>
      <c r="B85" s="9" t="s">
        <v>176</v>
      </c>
      <c r="C85" s="7">
        <v>2012</v>
      </c>
      <c r="D85" s="7" t="s">
        <v>75</v>
      </c>
      <c r="E85" s="7" t="s">
        <v>54</v>
      </c>
      <c r="F85" s="7" t="s">
        <v>24</v>
      </c>
      <c r="G85" s="7">
        <v>214</v>
      </c>
      <c r="H85" s="7">
        <v>22</v>
      </c>
      <c r="I85" s="7" t="s">
        <v>25</v>
      </c>
      <c r="J85" s="7">
        <v>1</v>
      </c>
      <c r="K85" s="7">
        <v>0</v>
      </c>
      <c r="L85" s="7">
        <v>9.1999999999999993</v>
      </c>
      <c r="M85" t="str">
        <f t="shared" si="1"/>
        <v>low risk</v>
      </c>
    </row>
    <row r="86" spans="1:13">
      <c r="A86" s="7" t="s">
        <v>177</v>
      </c>
      <c r="B86" s="9" t="s">
        <v>178</v>
      </c>
      <c r="C86" s="7">
        <v>2012</v>
      </c>
      <c r="D86" s="7" t="s">
        <v>28</v>
      </c>
      <c r="E86" s="7" t="s">
        <v>34</v>
      </c>
      <c r="F86" s="7" t="s">
        <v>24</v>
      </c>
      <c r="G86" s="7">
        <v>575</v>
      </c>
      <c r="H86" s="7">
        <v>11</v>
      </c>
      <c r="I86" s="7" t="s">
        <v>25</v>
      </c>
      <c r="J86" s="7">
        <v>1</v>
      </c>
      <c r="K86" s="7">
        <v>0</v>
      </c>
      <c r="L86" s="7">
        <v>6.3</v>
      </c>
      <c r="M86" t="str">
        <f t="shared" si="1"/>
        <v>medium risk</v>
      </c>
    </row>
    <row r="87" spans="1:13">
      <c r="A87" s="7" t="s">
        <v>179</v>
      </c>
      <c r="B87" s="9">
        <v>41125</v>
      </c>
      <c r="C87" s="7">
        <v>2012</v>
      </c>
      <c r="D87" s="7" t="s">
        <v>51</v>
      </c>
      <c r="E87" s="7" t="s">
        <v>47</v>
      </c>
      <c r="F87" s="7" t="s">
        <v>41</v>
      </c>
      <c r="G87" s="7">
        <v>852</v>
      </c>
      <c r="H87" s="7">
        <v>29</v>
      </c>
      <c r="I87" s="7" t="s">
        <v>35</v>
      </c>
      <c r="J87" s="7">
        <v>0</v>
      </c>
      <c r="K87" s="7">
        <v>1</v>
      </c>
      <c r="L87" s="7">
        <v>-4.9000000000000004</v>
      </c>
      <c r="M87" t="str">
        <f t="shared" si="1"/>
        <v>medium risk</v>
      </c>
    </row>
    <row r="88" spans="1:13">
      <c r="A88" s="7" t="s">
        <v>180</v>
      </c>
      <c r="B88" s="9">
        <v>41247</v>
      </c>
      <c r="C88" s="7">
        <v>2012</v>
      </c>
      <c r="D88" s="7" t="s">
        <v>156</v>
      </c>
      <c r="E88" s="7" t="s">
        <v>34</v>
      </c>
      <c r="F88" s="7" t="s">
        <v>41</v>
      </c>
      <c r="G88" s="7">
        <v>1874</v>
      </c>
      <c r="H88" s="7">
        <v>32</v>
      </c>
      <c r="I88" s="7" t="s">
        <v>25</v>
      </c>
      <c r="J88" s="7">
        <v>1</v>
      </c>
      <c r="K88" s="7">
        <v>0</v>
      </c>
      <c r="L88" s="7">
        <v>7.8</v>
      </c>
      <c r="M88" t="str">
        <f t="shared" si="1"/>
        <v>medium risk</v>
      </c>
    </row>
    <row r="89" spans="1:13">
      <c r="A89" s="7" t="s">
        <v>181</v>
      </c>
      <c r="B89" s="9">
        <v>41247</v>
      </c>
      <c r="C89" s="7">
        <v>2012</v>
      </c>
      <c r="D89" s="7" t="s">
        <v>28</v>
      </c>
      <c r="E89" s="7" t="s">
        <v>83</v>
      </c>
      <c r="F89" s="7" t="s">
        <v>24</v>
      </c>
      <c r="G89" s="7">
        <v>242</v>
      </c>
      <c r="H89" s="7">
        <v>14</v>
      </c>
      <c r="I89" s="7" t="s">
        <v>35</v>
      </c>
      <c r="J89" s="7">
        <v>0</v>
      </c>
      <c r="K89" s="7">
        <v>1</v>
      </c>
      <c r="L89" s="7">
        <v>-11.7</v>
      </c>
      <c r="M89" t="str">
        <f t="shared" si="1"/>
        <v>low risk</v>
      </c>
    </row>
    <row r="90" spans="1:13">
      <c r="A90" s="7" t="s">
        <v>182</v>
      </c>
      <c r="B90" s="9" t="s">
        <v>183</v>
      </c>
      <c r="C90" s="7">
        <v>2012</v>
      </c>
      <c r="D90" s="7" t="s">
        <v>28</v>
      </c>
      <c r="E90" s="7" t="s">
        <v>78</v>
      </c>
      <c r="F90" s="7" t="s">
        <v>41</v>
      </c>
      <c r="G90" s="7">
        <v>1962</v>
      </c>
      <c r="H90" s="7">
        <v>34</v>
      </c>
      <c r="I90" s="7" t="s">
        <v>35</v>
      </c>
      <c r="J90" s="7">
        <v>0</v>
      </c>
      <c r="K90" s="7">
        <v>1</v>
      </c>
      <c r="L90" s="7">
        <v>-2.1</v>
      </c>
      <c r="M90" t="str">
        <f t="shared" si="1"/>
        <v>medium risk</v>
      </c>
    </row>
    <row r="91" spans="1:13">
      <c r="A91" s="7" t="s">
        <v>184</v>
      </c>
      <c r="B91" s="9" t="s">
        <v>185</v>
      </c>
      <c r="C91" s="7">
        <v>2012</v>
      </c>
      <c r="D91" s="7" t="s">
        <v>33</v>
      </c>
      <c r="E91" s="7" t="s">
        <v>23</v>
      </c>
      <c r="F91" s="7" t="s">
        <v>41</v>
      </c>
      <c r="G91" s="7">
        <v>1145</v>
      </c>
      <c r="H91" s="7">
        <v>29</v>
      </c>
      <c r="I91" s="7" t="s">
        <v>35</v>
      </c>
      <c r="J91" s="7">
        <v>0</v>
      </c>
      <c r="K91" s="7">
        <v>1</v>
      </c>
      <c r="L91" s="7">
        <v>2.6</v>
      </c>
      <c r="M91" t="str">
        <f t="shared" si="1"/>
        <v>medium risk</v>
      </c>
    </row>
    <row r="92" spans="1:13">
      <c r="A92" s="7" t="s">
        <v>186</v>
      </c>
      <c r="B92" s="9" t="s">
        <v>187</v>
      </c>
      <c r="C92" s="7">
        <v>2012</v>
      </c>
      <c r="D92" s="7" t="s">
        <v>51</v>
      </c>
      <c r="E92" s="7" t="s">
        <v>38</v>
      </c>
      <c r="F92" s="7" t="s">
        <v>24</v>
      </c>
      <c r="G92" s="7">
        <v>217</v>
      </c>
      <c r="H92" s="7">
        <v>11</v>
      </c>
      <c r="I92" s="7" t="s">
        <v>25</v>
      </c>
      <c r="J92" s="7">
        <v>1</v>
      </c>
      <c r="K92" s="7">
        <v>0</v>
      </c>
      <c r="L92" s="7">
        <v>4.4000000000000004</v>
      </c>
      <c r="M92" t="str">
        <f t="shared" si="1"/>
        <v>low risk</v>
      </c>
    </row>
    <row r="93" spans="1:13">
      <c r="A93" s="7" t="s">
        <v>188</v>
      </c>
      <c r="B93" s="9" t="s">
        <v>189</v>
      </c>
      <c r="C93" s="7">
        <v>2012</v>
      </c>
      <c r="D93" s="7" t="s">
        <v>44</v>
      </c>
      <c r="E93" s="7" t="s">
        <v>47</v>
      </c>
      <c r="F93" s="7" t="s">
        <v>24</v>
      </c>
      <c r="G93" s="7">
        <v>185</v>
      </c>
      <c r="H93" s="7">
        <v>18</v>
      </c>
      <c r="I93" s="7" t="s">
        <v>25</v>
      </c>
      <c r="J93" s="7">
        <v>1</v>
      </c>
      <c r="K93" s="7">
        <v>0</v>
      </c>
      <c r="L93" s="7">
        <v>12.9</v>
      </c>
      <c r="M93" t="str">
        <f t="shared" si="1"/>
        <v>low risk</v>
      </c>
    </row>
    <row r="94" spans="1:13">
      <c r="A94" s="7" t="s">
        <v>190</v>
      </c>
      <c r="B94" s="9" t="s">
        <v>191</v>
      </c>
      <c r="C94" s="7">
        <v>2012</v>
      </c>
      <c r="D94" s="7" t="s">
        <v>156</v>
      </c>
      <c r="E94" s="7" t="s">
        <v>34</v>
      </c>
      <c r="F94" s="7" t="s">
        <v>41</v>
      </c>
      <c r="G94" s="7">
        <v>641</v>
      </c>
      <c r="H94" s="7">
        <v>40</v>
      </c>
      <c r="I94" s="7" t="s">
        <v>25</v>
      </c>
      <c r="J94" s="7">
        <v>1</v>
      </c>
      <c r="K94" s="7">
        <v>0</v>
      </c>
      <c r="L94" s="7">
        <v>6</v>
      </c>
      <c r="M94" t="str">
        <f t="shared" si="1"/>
        <v>medium risk</v>
      </c>
    </row>
    <row r="95" spans="1:13">
      <c r="A95" s="7" t="s">
        <v>192</v>
      </c>
      <c r="B95" s="9" t="s">
        <v>193</v>
      </c>
      <c r="C95" s="7">
        <v>2012</v>
      </c>
      <c r="D95" s="7" t="s">
        <v>194</v>
      </c>
      <c r="E95" s="7" t="s">
        <v>29</v>
      </c>
      <c r="F95" s="7" t="s">
        <v>24</v>
      </c>
      <c r="G95" s="7">
        <v>149</v>
      </c>
      <c r="H95" s="7">
        <v>25</v>
      </c>
      <c r="I95" s="7" t="s">
        <v>30</v>
      </c>
      <c r="J95" s="7">
        <v>0</v>
      </c>
      <c r="K95" s="7">
        <v>0</v>
      </c>
      <c r="L95" s="7">
        <v>-6.2</v>
      </c>
      <c r="M95" t="str">
        <f t="shared" si="1"/>
        <v>low risk</v>
      </c>
    </row>
    <row r="96" spans="1:13">
      <c r="A96" s="7" t="s">
        <v>195</v>
      </c>
      <c r="B96" s="9" t="s">
        <v>196</v>
      </c>
      <c r="C96" s="7">
        <v>2012</v>
      </c>
      <c r="D96" s="7" t="s">
        <v>174</v>
      </c>
      <c r="E96" s="7" t="s">
        <v>34</v>
      </c>
      <c r="F96" s="7" t="s">
        <v>41</v>
      </c>
      <c r="G96" s="7">
        <v>2342</v>
      </c>
      <c r="H96" s="7">
        <v>27</v>
      </c>
      <c r="I96" s="7" t="s">
        <v>35</v>
      </c>
      <c r="J96" s="7">
        <v>0</v>
      </c>
      <c r="K96" s="7">
        <v>1</v>
      </c>
      <c r="L96" s="7">
        <v>-18.5</v>
      </c>
      <c r="M96" t="str">
        <f t="shared" si="1"/>
        <v>high risk</v>
      </c>
    </row>
    <row r="97" spans="1:13">
      <c r="A97" s="7" t="s">
        <v>197</v>
      </c>
      <c r="B97" s="9">
        <v>41005</v>
      </c>
      <c r="C97" s="7">
        <v>2012</v>
      </c>
      <c r="D97" s="7" t="s">
        <v>115</v>
      </c>
      <c r="E97" s="7" t="s">
        <v>76</v>
      </c>
      <c r="F97" s="7" t="s">
        <v>24</v>
      </c>
      <c r="G97" s="7">
        <v>217</v>
      </c>
      <c r="H97" s="7">
        <v>16</v>
      </c>
      <c r="I97" s="7" t="s">
        <v>25</v>
      </c>
      <c r="J97" s="7">
        <v>1</v>
      </c>
      <c r="K97" s="7">
        <v>0</v>
      </c>
      <c r="L97" s="7">
        <v>7.2</v>
      </c>
      <c r="M97" t="str">
        <f t="shared" si="1"/>
        <v>low risk</v>
      </c>
    </row>
    <row r="98" spans="1:13">
      <c r="A98" s="7" t="s">
        <v>198</v>
      </c>
      <c r="B98" s="9">
        <v>40915</v>
      </c>
      <c r="C98" s="7">
        <v>2012</v>
      </c>
      <c r="D98" s="7" t="s">
        <v>112</v>
      </c>
      <c r="E98" s="7" t="s">
        <v>54</v>
      </c>
      <c r="F98" s="7" t="s">
        <v>41</v>
      </c>
      <c r="G98" s="7">
        <v>1956</v>
      </c>
      <c r="H98" s="7">
        <v>29</v>
      </c>
      <c r="I98" s="7" t="s">
        <v>25</v>
      </c>
      <c r="J98" s="7">
        <v>1</v>
      </c>
      <c r="K98" s="7">
        <v>0</v>
      </c>
      <c r="L98" s="7">
        <v>15.4</v>
      </c>
      <c r="M98" t="str">
        <f t="shared" si="1"/>
        <v>medium risk</v>
      </c>
    </row>
    <row r="99" spans="1:13">
      <c r="A99" s="7" t="s">
        <v>199</v>
      </c>
      <c r="B99" s="9">
        <v>40946</v>
      </c>
      <c r="C99" s="7">
        <v>2012</v>
      </c>
      <c r="D99" s="7" t="s">
        <v>156</v>
      </c>
      <c r="E99" s="7" t="s">
        <v>34</v>
      </c>
      <c r="F99" s="7" t="s">
        <v>41</v>
      </c>
      <c r="G99" s="7">
        <v>794</v>
      </c>
      <c r="H99" s="7">
        <v>38</v>
      </c>
      <c r="I99" s="7" t="s">
        <v>25</v>
      </c>
      <c r="J99" s="7">
        <v>1</v>
      </c>
      <c r="K99" s="7">
        <v>0</v>
      </c>
      <c r="L99" s="7">
        <v>0.5</v>
      </c>
      <c r="M99" t="str">
        <f t="shared" si="1"/>
        <v>medium risk</v>
      </c>
    </row>
    <row r="100" spans="1:13">
      <c r="A100" s="7" t="s">
        <v>200</v>
      </c>
      <c r="B100" s="9" t="s">
        <v>201</v>
      </c>
      <c r="C100" s="7">
        <v>2012</v>
      </c>
      <c r="D100" s="7" t="s">
        <v>66</v>
      </c>
      <c r="E100" s="7" t="s">
        <v>23</v>
      </c>
      <c r="F100" s="7" t="s">
        <v>24</v>
      </c>
      <c r="G100" s="7">
        <v>260</v>
      </c>
      <c r="H100" s="7">
        <v>14</v>
      </c>
      <c r="I100" s="7" t="s">
        <v>25</v>
      </c>
      <c r="J100" s="7">
        <v>1</v>
      </c>
      <c r="K100" s="7">
        <v>0</v>
      </c>
      <c r="L100" s="7">
        <v>5.7</v>
      </c>
      <c r="M100" t="str">
        <f t="shared" si="1"/>
        <v>low risk</v>
      </c>
    </row>
    <row r="101" spans="1:13">
      <c r="A101" s="7" t="s">
        <v>202</v>
      </c>
      <c r="B101" s="9" t="s">
        <v>203</v>
      </c>
      <c r="C101" s="7">
        <v>2012</v>
      </c>
      <c r="D101" s="7" t="s">
        <v>22</v>
      </c>
      <c r="E101" s="7" t="s">
        <v>47</v>
      </c>
      <c r="F101" s="7" t="s">
        <v>24</v>
      </c>
      <c r="G101" s="7">
        <v>270</v>
      </c>
      <c r="H101" s="7">
        <v>16</v>
      </c>
      <c r="I101" s="7" t="s">
        <v>25</v>
      </c>
      <c r="J101" s="7">
        <v>1</v>
      </c>
      <c r="K101" s="7">
        <v>0</v>
      </c>
      <c r="L101" s="7">
        <v>3.5</v>
      </c>
      <c r="M101" t="str">
        <f t="shared" si="1"/>
        <v>low risk</v>
      </c>
    </row>
    <row r="102" spans="1:13">
      <c r="A102" s="7" t="s">
        <v>204</v>
      </c>
      <c r="B102" s="9">
        <v>40916</v>
      </c>
      <c r="C102" s="7">
        <v>2012</v>
      </c>
      <c r="D102" s="7" t="s">
        <v>22</v>
      </c>
      <c r="E102" s="7" t="s">
        <v>83</v>
      </c>
      <c r="F102" s="7" t="s">
        <v>41</v>
      </c>
      <c r="G102" s="7">
        <v>3409</v>
      </c>
      <c r="H102" s="7">
        <v>35</v>
      </c>
      <c r="I102" s="7" t="s">
        <v>35</v>
      </c>
      <c r="J102" s="7">
        <v>0</v>
      </c>
      <c r="K102" s="7">
        <v>1</v>
      </c>
      <c r="L102" s="7">
        <v>-16.399999999999999</v>
      </c>
      <c r="M102" t="str">
        <f t="shared" si="1"/>
        <v>high risk</v>
      </c>
    </row>
    <row r="103" spans="1:13">
      <c r="A103" s="7" t="s">
        <v>205</v>
      </c>
      <c r="B103" s="9">
        <v>40947</v>
      </c>
      <c r="C103" s="7">
        <v>2012</v>
      </c>
      <c r="D103" s="7" t="s">
        <v>115</v>
      </c>
      <c r="E103" s="7" t="s">
        <v>83</v>
      </c>
      <c r="F103" s="7" t="s">
        <v>41</v>
      </c>
      <c r="G103" s="7">
        <v>2629</v>
      </c>
      <c r="H103" s="7">
        <v>40</v>
      </c>
      <c r="I103" s="7" t="s">
        <v>25</v>
      </c>
      <c r="J103" s="7">
        <v>1</v>
      </c>
      <c r="K103" s="7">
        <v>0</v>
      </c>
      <c r="L103" s="7">
        <v>21</v>
      </c>
      <c r="M103" t="str">
        <f t="shared" si="1"/>
        <v>high risk</v>
      </c>
    </row>
    <row r="104" spans="1:13">
      <c r="A104" s="7" t="s">
        <v>206</v>
      </c>
      <c r="B104" s="9">
        <v>41068</v>
      </c>
      <c r="C104" s="7">
        <v>2012</v>
      </c>
      <c r="D104" s="7" t="s">
        <v>33</v>
      </c>
      <c r="E104" s="7" t="s">
        <v>34</v>
      </c>
      <c r="F104" s="7" t="s">
        <v>41</v>
      </c>
      <c r="G104" s="7">
        <v>2673</v>
      </c>
      <c r="H104" s="7">
        <v>34</v>
      </c>
      <c r="I104" s="7" t="s">
        <v>35</v>
      </c>
      <c r="J104" s="7">
        <v>0</v>
      </c>
      <c r="K104" s="7">
        <v>1</v>
      </c>
      <c r="L104" s="7">
        <v>-21.9</v>
      </c>
      <c r="M104" t="str">
        <f t="shared" si="1"/>
        <v>high risk</v>
      </c>
    </row>
    <row r="105" spans="1:13">
      <c r="A105" s="7" t="s">
        <v>207</v>
      </c>
      <c r="B105" s="9">
        <v>41221</v>
      </c>
      <c r="C105" s="7">
        <v>2012</v>
      </c>
      <c r="D105" s="7" t="s">
        <v>194</v>
      </c>
      <c r="E105" s="7" t="s">
        <v>23</v>
      </c>
      <c r="F105" s="7" t="s">
        <v>24</v>
      </c>
      <c r="G105" s="7">
        <v>324</v>
      </c>
      <c r="H105" s="7">
        <v>33</v>
      </c>
      <c r="I105" s="7" t="s">
        <v>35</v>
      </c>
      <c r="J105" s="7">
        <v>0</v>
      </c>
      <c r="K105" s="7">
        <v>1</v>
      </c>
      <c r="L105" s="7">
        <v>-36.6</v>
      </c>
      <c r="M105" t="str">
        <f t="shared" si="1"/>
        <v>low risk</v>
      </c>
    </row>
    <row r="106" spans="1:13">
      <c r="A106" s="7" t="s">
        <v>208</v>
      </c>
      <c r="B106" s="9" t="s">
        <v>209</v>
      </c>
      <c r="C106" s="7">
        <v>2012</v>
      </c>
      <c r="D106" s="7" t="s">
        <v>101</v>
      </c>
      <c r="E106" s="7" t="s">
        <v>23</v>
      </c>
      <c r="F106" s="7" t="s">
        <v>24</v>
      </c>
      <c r="G106" s="7">
        <v>246</v>
      </c>
      <c r="H106" s="7">
        <v>11</v>
      </c>
      <c r="I106" s="7" t="s">
        <v>30</v>
      </c>
      <c r="J106" s="7">
        <v>0</v>
      </c>
      <c r="K106" s="7">
        <v>0</v>
      </c>
      <c r="L106" s="7">
        <v>-7.6</v>
      </c>
      <c r="M106" t="str">
        <f t="shared" si="1"/>
        <v>low risk</v>
      </c>
    </row>
    <row r="107" spans="1:13">
      <c r="A107" s="7" t="s">
        <v>210</v>
      </c>
      <c r="B107" s="9">
        <v>41161</v>
      </c>
      <c r="C107" s="7">
        <v>2012</v>
      </c>
      <c r="D107" s="7" t="s">
        <v>28</v>
      </c>
      <c r="E107" s="7" t="s">
        <v>38</v>
      </c>
      <c r="F107" s="7" t="s">
        <v>24</v>
      </c>
      <c r="G107" s="7">
        <v>550</v>
      </c>
      <c r="H107" s="7">
        <v>17</v>
      </c>
      <c r="I107" s="7" t="s">
        <v>25</v>
      </c>
      <c r="J107" s="7">
        <v>1</v>
      </c>
      <c r="K107" s="7">
        <v>0</v>
      </c>
      <c r="L107" s="7">
        <v>16.600000000000001</v>
      </c>
      <c r="M107" t="str">
        <f t="shared" si="1"/>
        <v>medium risk</v>
      </c>
    </row>
    <row r="108" spans="1:13">
      <c r="A108" s="7" t="s">
        <v>211</v>
      </c>
      <c r="B108" s="9" t="s">
        <v>212</v>
      </c>
      <c r="C108" s="7">
        <v>2012</v>
      </c>
      <c r="D108" s="7" t="s">
        <v>28</v>
      </c>
      <c r="E108" s="7" t="s">
        <v>63</v>
      </c>
      <c r="F108" s="7" t="s">
        <v>24</v>
      </c>
      <c r="G108" s="7">
        <v>275</v>
      </c>
      <c r="H108" s="7">
        <v>26</v>
      </c>
      <c r="I108" s="7" t="s">
        <v>25</v>
      </c>
      <c r="J108" s="7">
        <v>1</v>
      </c>
      <c r="K108" s="7">
        <v>0</v>
      </c>
      <c r="L108" s="7">
        <v>13.1</v>
      </c>
      <c r="M108" t="str">
        <f t="shared" si="1"/>
        <v>low risk</v>
      </c>
    </row>
    <row r="109" spans="1:13">
      <c r="A109" s="7" t="s">
        <v>213</v>
      </c>
      <c r="B109" s="9" t="s">
        <v>214</v>
      </c>
      <c r="C109" s="7">
        <v>2012</v>
      </c>
      <c r="D109" s="7" t="s">
        <v>37</v>
      </c>
      <c r="E109" s="7" t="s">
        <v>23</v>
      </c>
      <c r="F109" s="7" t="s">
        <v>41</v>
      </c>
      <c r="G109" s="7">
        <v>1166</v>
      </c>
      <c r="H109" s="7">
        <v>32</v>
      </c>
      <c r="I109" s="7" t="s">
        <v>35</v>
      </c>
      <c r="J109" s="7">
        <v>0</v>
      </c>
      <c r="K109" s="7">
        <v>1</v>
      </c>
      <c r="L109" s="7">
        <v>-17.5</v>
      </c>
      <c r="M109" t="str">
        <f t="shared" si="1"/>
        <v>medium risk</v>
      </c>
    </row>
    <row r="110" spans="1:13">
      <c r="A110" s="7" t="s">
        <v>215</v>
      </c>
      <c r="B110" s="9" t="s">
        <v>216</v>
      </c>
      <c r="C110" s="7">
        <v>2012</v>
      </c>
      <c r="D110" s="7" t="s">
        <v>101</v>
      </c>
      <c r="E110" s="7" t="s">
        <v>34</v>
      </c>
      <c r="F110" s="7" t="s">
        <v>41</v>
      </c>
      <c r="G110" s="7">
        <v>4179</v>
      </c>
      <c r="H110" s="7">
        <v>43</v>
      </c>
      <c r="I110" s="7" t="s">
        <v>35</v>
      </c>
      <c r="J110" s="7">
        <v>0</v>
      </c>
      <c r="K110" s="7">
        <v>1</v>
      </c>
      <c r="L110" s="7">
        <v>-10.5</v>
      </c>
      <c r="M110" t="str">
        <f t="shared" si="1"/>
        <v>high risk</v>
      </c>
    </row>
    <row r="111" spans="1:13">
      <c r="A111" s="7" t="s">
        <v>217</v>
      </c>
      <c r="B111" s="9">
        <v>40949</v>
      </c>
      <c r="C111" s="7">
        <v>2012</v>
      </c>
      <c r="D111" s="7" t="s">
        <v>68</v>
      </c>
      <c r="E111" s="7" t="s">
        <v>34</v>
      </c>
      <c r="F111" s="7" t="s">
        <v>41</v>
      </c>
      <c r="G111" s="7">
        <v>1065</v>
      </c>
      <c r="H111" s="7">
        <v>23</v>
      </c>
      <c r="I111" s="7" t="s">
        <v>25</v>
      </c>
      <c r="J111" s="7">
        <v>1</v>
      </c>
      <c r="K111" s="7">
        <v>0</v>
      </c>
      <c r="L111" s="7">
        <v>3.6</v>
      </c>
      <c r="M111" t="str">
        <f t="shared" si="1"/>
        <v>medium risk</v>
      </c>
    </row>
    <row r="112" spans="1:13">
      <c r="A112" s="7" t="s">
        <v>218</v>
      </c>
      <c r="B112" s="9">
        <v>41009</v>
      </c>
      <c r="C112" s="7">
        <v>2012</v>
      </c>
      <c r="D112" s="7" t="s">
        <v>75</v>
      </c>
      <c r="E112" s="7" t="s">
        <v>34</v>
      </c>
      <c r="F112" s="7" t="s">
        <v>24</v>
      </c>
      <c r="G112" s="7">
        <v>320</v>
      </c>
      <c r="H112" s="7">
        <v>36</v>
      </c>
      <c r="I112" s="7" t="s">
        <v>25</v>
      </c>
      <c r="J112" s="7">
        <v>1</v>
      </c>
      <c r="K112" s="7">
        <v>0</v>
      </c>
      <c r="L112" s="7">
        <v>-2.1</v>
      </c>
      <c r="M112" t="str">
        <f t="shared" si="1"/>
        <v>low risk</v>
      </c>
    </row>
    <row r="113" spans="1:13">
      <c r="A113" s="7" t="s">
        <v>219</v>
      </c>
      <c r="B113" s="9" t="s">
        <v>220</v>
      </c>
      <c r="C113" s="7">
        <v>2012</v>
      </c>
      <c r="D113" s="7" t="s">
        <v>115</v>
      </c>
      <c r="E113" s="7" t="s">
        <v>34</v>
      </c>
      <c r="F113" s="7" t="s">
        <v>41</v>
      </c>
      <c r="G113" s="7">
        <v>662</v>
      </c>
      <c r="H113" s="7">
        <v>42</v>
      </c>
      <c r="I113" s="7" t="s">
        <v>30</v>
      </c>
      <c r="J113" s="7">
        <v>0</v>
      </c>
      <c r="K113" s="7">
        <v>0</v>
      </c>
      <c r="L113" s="7">
        <v>1.6</v>
      </c>
      <c r="M113" t="str">
        <f t="shared" si="1"/>
        <v>medium risk</v>
      </c>
    </row>
    <row r="114" spans="1:13">
      <c r="A114" s="7" t="s">
        <v>221</v>
      </c>
      <c r="B114" s="9" t="s">
        <v>222</v>
      </c>
      <c r="C114" s="7">
        <v>2012</v>
      </c>
      <c r="D114" s="7" t="s">
        <v>115</v>
      </c>
      <c r="E114" s="7" t="s">
        <v>34</v>
      </c>
      <c r="F114" s="7" t="s">
        <v>24</v>
      </c>
      <c r="G114" s="7">
        <v>688</v>
      </c>
      <c r="H114" s="7">
        <v>14</v>
      </c>
      <c r="I114" s="7" t="s">
        <v>25</v>
      </c>
      <c r="J114" s="7">
        <v>1</v>
      </c>
      <c r="K114" s="7">
        <v>0</v>
      </c>
      <c r="L114" s="7">
        <v>3.9</v>
      </c>
      <c r="M114" t="str">
        <f t="shared" si="1"/>
        <v>medium risk</v>
      </c>
    </row>
    <row r="115" spans="1:13">
      <c r="A115" s="7" t="s">
        <v>223</v>
      </c>
      <c r="B115" s="9">
        <v>41010</v>
      </c>
      <c r="C115" s="7">
        <v>2012</v>
      </c>
      <c r="D115" s="7" t="s">
        <v>44</v>
      </c>
      <c r="E115" s="7" t="s">
        <v>34</v>
      </c>
      <c r="F115" s="7" t="s">
        <v>24</v>
      </c>
      <c r="G115" s="7">
        <v>497</v>
      </c>
      <c r="H115" s="7">
        <v>21</v>
      </c>
      <c r="I115" s="7" t="s">
        <v>25</v>
      </c>
      <c r="J115" s="7">
        <v>1</v>
      </c>
      <c r="K115" s="7">
        <v>0</v>
      </c>
      <c r="L115" s="7">
        <v>11.9</v>
      </c>
      <c r="M115" t="str">
        <f t="shared" si="1"/>
        <v>low risk</v>
      </c>
    </row>
    <row r="116" spans="1:13">
      <c r="A116" s="7" t="s">
        <v>224</v>
      </c>
      <c r="B116" s="9" t="s">
        <v>225</v>
      </c>
      <c r="C116" s="7">
        <v>2012</v>
      </c>
      <c r="D116" s="7" t="s">
        <v>101</v>
      </c>
      <c r="E116" s="7" t="s">
        <v>23</v>
      </c>
      <c r="F116" s="7" t="s">
        <v>41</v>
      </c>
      <c r="G116" s="7">
        <v>478</v>
      </c>
      <c r="H116" s="7">
        <v>34</v>
      </c>
      <c r="I116" s="7" t="s">
        <v>35</v>
      </c>
      <c r="J116" s="7">
        <v>0</v>
      </c>
      <c r="K116" s="7">
        <v>1</v>
      </c>
      <c r="L116" s="7">
        <v>-14.8</v>
      </c>
      <c r="M116" t="str">
        <f t="shared" si="1"/>
        <v>low risk</v>
      </c>
    </row>
    <row r="117" spans="1:13">
      <c r="A117" s="7" t="s">
        <v>226</v>
      </c>
      <c r="B117" s="9" t="s">
        <v>227</v>
      </c>
      <c r="C117" s="7">
        <v>2012</v>
      </c>
      <c r="D117" s="7" t="s">
        <v>44</v>
      </c>
      <c r="E117" s="7" t="s">
        <v>34</v>
      </c>
      <c r="F117" s="7" t="s">
        <v>24</v>
      </c>
      <c r="G117" s="7">
        <v>151</v>
      </c>
      <c r="H117" s="7">
        <v>18</v>
      </c>
      <c r="I117" s="7" t="s">
        <v>35</v>
      </c>
      <c r="J117" s="7">
        <v>0</v>
      </c>
      <c r="K117" s="7">
        <v>1</v>
      </c>
      <c r="L117" s="7">
        <v>-2.7</v>
      </c>
      <c r="M117" t="str">
        <f t="shared" si="1"/>
        <v>low risk</v>
      </c>
    </row>
    <row r="118" spans="1:13">
      <c r="A118" s="7" t="s">
        <v>228</v>
      </c>
      <c r="B118" s="9" t="s">
        <v>229</v>
      </c>
      <c r="C118" s="7">
        <v>2012</v>
      </c>
      <c r="D118" s="7" t="s">
        <v>40</v>
      </c>
      <c r="E118" s="7" t="s">
        <v>34</v>
      </c>
      <c r="F118" s="7" t="s">
        <v>24</v>
      </c>
      <c r="G118" s="7">
        <v>590</v>
      </c>
      <c r="H118" s="7">
        <v>29</v>
      </c>
      <c r="I118" s="7" t="s">
        <v>35</v>
      </c>
      <c r="J118" s="7">
        <v>0</v>
      </c>
      <c r="K118" s="7">
        <v>1</v>
      </c>
      <c r="L118" s="7">
        <v>-9.5</v>
      </c>
      <c r="M118" t="str">
        <f t="shared" si="1"/>
        <v>medium risk</v>
      </c>
    </row>
    <row r="119" spans="1:13">
      <c r="A119" s="7" t="s">
        <v>230</v>
      </c>
      <c r="B119" s="9">
        <v>41579</v>
      </c>
      <c r="C119" s="7">
        <v>2013</v>
      </c>
      <c r="D119" s="7" t="s">
        <v>174</v>
      </c>
      <c r="E119" s="7" t="s">
        <v>76</v>
      </c>
      <c r="F119" s="7" t="s">
        <v>24</v>
      </c>
      <c r="G119" s="7">
        <v>182</v>
      </c>
      <c r="H119" s="7">
        <v>17</v>
      </c>
      <c r="I119" s="7" t="s">
        <v>25</v>
      </c>
      <c r="J119" s="7">
        <v>1</v>
      </c>
      <c r="K119" s="7">
        <v>0</v>
      </c>
      <c r="L119" s="7">
        <v>13.5</v>
      </c>
      <c r="M119" t="str">
        <f t="shared" si="1"/>
        <v>low risk</v>
      </c>
    </row>
    <row r="120" spans="1:13">
      <c r="A120" s="7" t="s">
        <v>231</v>
      </c>
      <c r="B120" s="9">
        <v>41579</v>
      </c>
      <c r="C120" s="7">
        <v>2013</v>
      </c>
      <c r="D120" s="7" t="s">
        <v>112</v>
      </c>
      <c r="E120" s="7" t="s">
        <v>47</v>
      </c>
      <c r="F120" s="7" t="s">
        <v>24</v>
      </c>
      <c r="G120" s="7">
        <v>225</v>
      </c>
      <c r="H120" s="7">
        <v>17</v>
      </c>
      <c r="I120" s="7" t="s">
        <v>25</v>
      </c>
      <c r="J120" s="7">
        <v>1</v>
      </c>
      <c r="K120" s="7">
        <v>0</v>
      </c>
      <c r="L120" s="7">
        <v>5.7</v>
      </c>
      <c r="M120" t="str">
        <f t="shared" si="1"/>
        <v>low risk</v>
      </c>
    </row>
    <row r="121" spans="1:13">
      <c r="A121" s="7" t="s">
        <v>232</v>
      </c>
      <c r="B121" s="9" t="s">
        <v>233</v>
      </c>
      <c r="C121" s="7">
        <v>2013</v>
      </c>
      <c r="D121" s="7" t="s">
        <v>33</v>
      </c>
      <c r="E121" s="7" t="s">
        <v>23</v>
      </c>
      <c r="F121" s="7" t="s">
        <v>41</v>
      </c>
      <c r="G121" s="7">
        <v>1689</v>
      </c>
      <c r="H121" s="7">
        <v>27</v>
      </c>
      <c r="I121" s="7" t="s">
        <v>35</v>
      </c>
      <c r="J121" s="7">
        <v>0</v>
      </c>
      <c r="K121" s="7">
        <v>1</v>
      </c>
      <c r="L121" s="7">
        <v>-12.8</v>
      </c>
      <c r="M121" t="str">
        <f t="shared" si="1"/>
        <v>medium risk</v>
      </c>
    </row>
    <row r="122" spans="1:13">
      <c r="A122" s="7" t="s">
        <v>234</v>
      </c>
      <c r="B122" s="9">
        <v>41276</v>
      </c>
      <c r="C122" s="7">
        <v>2013</v>
      </c>
      <c r="D122" s="7" t="s">
        <v>68</v>
      </c>
      <c r="E122" s="7" t="s">
        <v>76</v>
      </c>
      <c r="F122" s="7" t="s">
        <v>41</v>
      </c>
      <c r="G122" s="7">
        <v>832</v>
      </c>
      <c r="H122" s="7">
        <v>35</v>
      </c>
      <c r="I122" s="7" t="s">
        <v>30</v>
      </c>
      <c r="J122" s="7">
        <v>0</v>
      </c>
      <c r="K122" s="7">
        <v>0</v>
      </c>
      <c r="L122" s="7">
        <v>-7.6</v>
      </c>
      <c r="M122" t="str">
        <f t="shared" si="1"/>
        <v>medium risk</v>
      </c>
    </row>
    <row r="123" spans="1:13">
      <c r="A123" s="7" t="s">
        <v>235</v>
      </c>
      <c r="B123" s="9">
        <v>41276</v>
      </c>
      <c r="C123" s="7">
        <v>2013</v>
      </c>
      <c r="D123" s="7" t="s">
        <v>194</v>
      </c>
      <c r="E123" s="7" t="s">
        <v>29</v>
      </c>
      <c r="F123" s="7" t="s">
        <v>41</v>
      </c>
      <c r="G123" s="7">
        <v>1527</v>
      </c>
      <c r="H123" s="7">
        <v>34</v>
      </c>
      <c r="I123" s="7" t="s">
        <v>35</v>
      </c>
      <c r="J123" s="7">
        <v>0</v>
      </c>
      <c r="K123" s="7">
        <v>1</v>
      </c>
      <c r="L123" s="7">
        <v>-8</v>
      </c>
      <c r="M123" t="str">
        <f t="shared" si="1"/>
        <v>medium risk</v>
      </c>
    </row>
    <row r="124" spans="1:13">
      <c r="A124" s="7" t="s">
        <v>236</v>
      </c>
      <c r="B124" s="9">
        <v>41307</v>
      </c>
      <c r="C124" s="7">
        <v>2013</v>
      </c>
      <c r="D124" s="7" t="s">
        <v>107</v>
      </c>
      <c r="E124" s="7" t="s">
        <v>83</v>
      </c>
      <c r="F124" s="7" t="s">
        <v>41</v>
      </c>
      <c r="G124" s="7">
        <v>571</v>
      </c>
      <c r="H124" s="7">
        <v>34</v>
      </c>
      <c r="I124" s="7" t="s">
        <v>35</v>
      </c>
      <c r="J124" s="7">
        <v>0</v>
      </c>
      <c r="K124" s="7">
        <v>1</v>
      </c>
      <c r="L124" s="7">
        <v>-14.9</v>
      </c>
      <c r="M124" t="str">
        <f t="shared" si="1"/>
        <v>medium risk</v>
      </c>
    </row>
    <row r="125" spans="1:13">
      <c r="A125" s="7" t="s">
        <v>237</v>
      </c>
      <c r="B125" s="9">
        <v>41488</v>
      </c>
      <c r="C125" s="7">
        <v>2013</v>
      </c>
      <c r="D125" s="7" t="s">
        <v>96</v>
      </c>
      <c r="E125" s="7" t="s">
        <v>76</v>
      </c>
      <c r="F125" s="7" t="s">
        <v>41</v>
      </c>
      <c r="G125" s="7">
        <v>679</v>
      </c>
      <c r="H125" s="7">
        <v>39</v>
      </c>
      <c r="I125" s="7" t="s">
        <v>25</v>
      </c>
      <c r="J125" s="7">
        <v>1</v>
      </c>
      <c r="K125" s="7">
        <v>0</v>
      </c>
      <c r="L125" s="7">
        <v>7.3</v>
      </c>
      <c r="M125" t="str">
        <f t="shared" si="1"/>
        <v>medium risk</v>
      </c>
    </row>
    <row r="126" spans="1:13">
      <c r="A126" s="7" t="s">
        <v>238</v>
      </c>
      <c r="B126" s="9" t="s">
        <v>239</v>
      </c>
      <c r="C126" s="7">
        <v>2013</v>
      </c>
      <c r="D126" s="7" t="s">
        <v>40</v>
      </c>
      <c r="E126" s="7" t="s">
        <v>47</v>
      </c>
      <c r="F126" s="7" t="s">
        <v>41</v>
      </c>
      <c r="G126" s="7">
        <v>1938</v>
      </c>
      <c r="H126" s="7">
        <v>31</v>
      </c>
      <c r="I126" s="7" t="s">
        <v>25</v>
      </c>
      <c r="J126" s="7">
        <v>1</v>
      </c>
      <c r="K126" s="7">
        <v>0</v>
      </c>
      <c r="L126" s="7">
        <v>6.4</v>
      </c>
      <c r="M126" t="str">
        <f t="shared" si="1"/>
        <v>medium risk</v>
      </c>
    </row>
    <row r="127" spans="1:13">
      <c r="A127" s="7" t="s">
        <v>240</v>
      </c>
      <c r="B127" s="9" t="s">
        <v>241</v>
      </c>
      <c r="C127" s="7">
        <v>2013</v>
      </c>
      <c r="D127" s="7" t="s">
        <v>58</v>
      </c>
      <c r="E127" s="7" t="s">
        <v>34</v>
      </c>
      <c r="F127" s="7" t="s">
        <v>41</v>
      </c>
      <c r="G127" s="7">
        <v>604</v>
      </c>
      <c r="H127" s="7">
        <v>29</v>
      </c>
      <c r="I127" s="7" t="s">
        <v>30</v>
      </c>
      <c r="J127" s="7">
        <v>0</v>
      </c>
      <c r="K127" s="7">
        <v>0</v>
      </c>
      <c r="L127" s="7">
        <v>-6.1</v>
      </c>
      <c r="M127" t="str">
        <f t="shared" si="1"/>
        <v>medium risk</v>
      </c>
    </row>
    <row r="128" spans="1:13">
      <c r="A128" s="7" t="s">
        <v>242</v>
      </c>
      <c r="B128" s="9" t="s">
        <v>243</v>
      </c>
      <c r="C128" s="7">
        <v>2013</v>
      </c>
      <c r="D128" s="7" t="s">
        <v>28</v>
      </c>
      <c r="E128" s="7" t="s">
        <v>76</v>
      </c>
      <c r="F128" s="7" t="s">
        <v>41</v>
      </c>
      <c r="G128" s="7">
        <v>1065</v>
      </c>
      <c r="H128" s="7">
        <v>46</v>
      </c>
      <c r="I128" s="7" t="s">
        <v>30</v>
      </c>
      <c r="J128" s="7">
        <v>0</v>
      </c>
      <c r="K128" s="7">
        <v>0</v>
      </c>
      <c r="L128" s="7">
        <v>4.5</v>
      </c>
      <c r="M128" t="str">
        <f t="shared" si="1"/>
        <v>medium risk</v>
      </c>
    </row>
    <row r="129" spans="1:13">
      <c r="A129" s="7" t="s">
        <v>244</v>
      </c>
      <c r="B129" s="9" t="s">
        <v>245</v>
      </c>
      <c r="C129" s="7">
        <v>2013</v>
      </c>
      <c r="D129" s="7" t="s">
        <v>66</v>
      </c>
      <c r="E129" s="7" t="s">
        <v>34</v>
      </c>
      <c r="F129" s="7" t="s">
        <v>41</v>
      </c>
      <c r="G129" s="7">
        <v>838</v>
      </c>
      <c r="H129" s="7">
        <v>36</v>
      </c>
      <c r="I129" s="7" t="s">
        <v>35</v>
      </c>
      <c r="J129" s="7">
        <v>0</v>
      </c>
      <c r="K129" s="7">
        <v>1</v>
      </c>
      <c r="L129" s="7">
        <v>-34.5</v>
      </c>
      <c r="M129" t="str">
        <f t="shared" si="1"/>
        <v>medium risk</v>
      </c>
    </row>
    <row r="130" spans="1:13">
      <c r="A130" s="7" t="s">
        <v>246</v>
      </c>
      <c r="B130" s="9">
        <v>41310</v>
      </c>
      <c r="C130" s="7">
        <v>2013</v>
      </c>
      <c r="D130" s="7" t="s">
        <v>51</v>
      </c>
      <c r="E130" s="7" t="s">
        <v>47</v>
      </c>
      <c r="F130" s="7" t="s">
        <v>24</v>
      </c>
      <c r="G130" s="7">
        <v>142</v>
      </c>
      <c r="H130" s="7">
        <v>17</v>
      </c>
      <c r="I130" s="7" t="s">
        <v>25</v>
      </c>
      <c r="J130" s="7">
        <v>1</v>
      </c>
      <c r="K130" s="7">
        <v>0</v>
      </c>
      <c r="L130" s="7">
        <v>-4.5</v>
      </c>
      <c r="M130" t="str">
        <f t="shared" si="1"/>
        <v>low risk</v>
      </c>
    </row>
    <row r="131" spans="1:13">
      <c r="A131" s="7" t="s">
        <v>247</v>
      </c>
      <c r="B131" s="9">
        <v>41613</v>
      </c>
      <c r="C131" s="7">
        <v>2013</v>
      </c>
      <c r="D131" s="7" t="s">
        <v>58</v>
      </c>
      <c r="E131" s="7" t="s">
        <v>83</v>
      </c>
      <c r="F131" s="7" t="s">
        <v>24</v>
      </c>
      <c r="G131" s="7">
        <v>93</v>
      </c>
      <c r="H131" s="7">
        <v>9</v>
      </c>
      <c r="I131" s="7" t="s">
        <v>30</v>
      </c>
      <c r="J131" s="7">
        <v>0</v>
      </c>
      <c r="K131" s="7">
        <v>0</v>
      </c>
      <c r="L131" s="7">
        <v>-3.6</v>
      </c>
      <c r="M131" t="str">
        <f t="shared" ref="M131:M194" si="2">IF(G131&gt;2000,"high risk",IF(G131&gt;500,"medium risk","low risk"))</f>
        <v>low risk</v>
      </c>
    </row>
    <row r="132" spans="1:13">
      <c r="A132" s="7" t="s">
        <v>248</v>
      </c>
      <c r="B132" s="9" t="s">
        <v>249</v>
      </c>
      <c r="C132" s="7">
        <v>2013</v>
      </c>
      <c r="D132" s="7" t="s">
        <v>58</v>
      </c>
      <c r="E132" s="7" t="s">
        <v>23</v>
      </c>
      <c r="F132" s="7" t="s">
        <v>24</v>
      </c>
      <c r="G132" s="7">
        <v>206</v>
      </c>
      <c r="H132" s="7">
        <v>22</v>
      </c>
      <c r="I132" s="7" t="s">
        <v>30</v>
      </c>
      <c r="J132" s="7">
        <v>0</v>
      </c>
      <c r="K132" s="7">
        <v>0</v>
      </c>
      <c r="L132" s="7">
        <v>-5</v>
      </c>
      <c r="M132" t="str">
        <f t="shared" si="2"/>
        <v>low risk</v>
      </c>
    </row>
    <row r="133" spans="1:13">
      <c r="A133" s="7" t="s">
        <v>250</v>
      </c>
      <c r="B133" s="9">
        <v>41311</v>
      </c>
      <c r="C133" s="7">
        <v>2013</v>
      </c>
      <c r="D133" s="7" t="s">
        <v>174</v>
      </c>
      <c r="E133" s="7" t="s">
        <v>29</v>
      </c>
      <c r="F133" s="7" t="s">
        <v>41</v>
      </c>
      <c r="G133" s="7">
        <v>2212</v>
      </c>
      <c r="H133" s="7">
        <v>29</v>
      </c>
      <c r="I133" s="7" t="s">
        <v>35</v>
      </c>
      <c r="J133" s="7">
        <v>0</v>
      </c>
      <c r="K133" s="7">
        <v>1</v>
      </c>
      <c r="L133" s="7">
        <v>-9.1</v>
      </c>
      <c r="M133" t="str">
        <f t="shared" si="2"/>
        <v>high risk</v>
      </c>
    </row>
    <row r="134" spans="1:13">
      <c r="A134" s="7" t="s">
        <v>251</v>
      </c>
      <c r="B134" s="9">
        <v>41400</v>
      </c>
      <c r="C134" s="7">
        <v>2013</v>
      </c>
      <c r="D134" s="7" t="s">
        <v>75</v>
      </c>
      <c r="E134" s="7" t="s">
        <v>23</v>
      </c>
      <c r="F134" s="7" t="s">
        <v>41</v>
      </c>
      <c r="G134" s="7">
        <v>845</v>
      </c>
      <c r="H134" s="7">
        <v>35</v>
      </c>
      <c r="I134" s="7" t="s">
        <v>25</v>
      </c>
      <c r="J134" s="7">
        <v>1</v>
      </c>
      <c r="K134" s="7">
        <v>0</v>
      </c>
      <c r="L134" s="7">
        <v>13.3</v>
      </c>
      <c r="M134" t="str">
        <f t="shared" si="2"/>
        <v>medium risk</v>
      </c>
    </row>
    <row r="135" spans="1:13">
      <c r="A135" s="7" t="s">
        <v>252</v>
      </c>
      <c r="B135" s="9">
        <v>41492</v>
      </c>
      <c r="C135" s="7">
        <v>2013</v>
      </c>
      <c r="D135" s="7" t="s">
        <v>51</v>
      </c>
      <c r="E135" s="7" t="s">
        <v>29</v>
      </c>
      <c r="F135" s="7" t="s">
        <v>41</v>
      </c>
      <c r="G135" s="7">
        <v>1121</v>
      </c>
      <c r="H135" s="7">
        <v>38</v>
      </c>
      <c r="I135" s="7" t="s">
        <v>25</v>
      </c>
      <c r="J135" s="7">
        <v>1</v>
      </c>
      <c r="K135" s="7">
        <v>0</v>
      </c>
      <c r="L135" s="7">
        <v>4.8</v>
      </c>
      <c r="M135" t="str">
        <f t="shared" si="2"/>
        <v>medium risk</v>
      </c>
    </row>
    <row r="136" spans="1:13">
      <c r="A136" s="7" t="s">
        <v>253</v>
      </c>
      <c r="B136" s="9">
        <v>41584</v>
      </c>
      <c r="C136" s="7">
        <v>2013</v>
      </c>
      <c r="D136" s="7" t="s">
        <v>115</v>
      </c>
      <c r="E136" s="7" t="s">
        <v>34</v>
      </c>
      <c r="F136" s="7" t="s">
        <v>41</v>
      </c>
      <c r="G136" s="7">
        <v>889</v>
      </c>
      <c r="H136" s="7">
        <v>38</v>
      </c>
      <c r="I136" s="7" t="s">
        <v>25</v>
      </c>
      <c r="J136" s="7">
        <v>1</v>
      </c>
      <c r="K136" s="7">
        <v>0</v>
      </c>
      <c r="L136" s="7">
        <v>17.600000000000001</v>
      </c>
      <c r="M136" t="str">
        <f t="shared" si="2"/>
        <v>medium risk</v>
      </c>
    </row>
    <row r="137" spans="1:13">
      <c r="A137" s="7" t="s">
        <v>254</v>
      </c>
      <c r="B137" s="9" t="s">
        <v>255</v>
      </c>
      <c r="C137" s="7">
        <v>2013</v>
      </c>
      <c r="D137" s="7" t="s">
        <v>115</v>
      </c>
      <c r="E137" s="7" t="s">
        <v>47</v>
      </c>
      <c r="F137" s="7" t="s">
        <v>41</v>
      </c>
      <c r="G137" s="7">
        <v>1722</v>
      </c>
      <c r="H137" s="7">
        <v>42</v>
      </c>
      <c r="I137" s="7" t="s">
        <v>35</v>
      </c>
      <c r="J137" s="7">
        <v>0</v>
      </c>
      <c r="K137" s="7">
        <v>1</v>
      </c>
      <c r="L137" s="7">
        <v>-4.3</v>
      </c>
      <c r="M137" t="str">
        <f t="shared" si="2"/>
        <v>medium risk</v>
      </c>
    </row>
    <row r="138" spans="1:13">
      <c r="A138" s="7" t="s">
        <v>256</v>
      </c>
      <c r="B138" s="9" t="s">
        <v>257</v>
      </c>
      <c r="C138" s="7">
        <v>2013</v>
      </c>
      <c r="D138" s="7" t="s">
        <v>40</v>
      </c>
      <c r="E138" s="7" t="s">
        <v>34</v>
      </c>
      <c r="F138" s="7" t="s">
        <v>41</v>
      </c>
      <c r="G138" s="7">
        <v>543</v>
      </c>
      <c r="H138" s="7">
        <v>29</v>
      </c>
      <c r="I138" s="7" t="s">
        <v>35</v>
      </c>
      <c r="J138" s="7">
        <v>0</v>
      </c>
      <c r="K138" s="7">
        <v>1</v>
      </c>
      <c r="L138" s="7">
        <v>-0.9</v>
      </c>
      <c r="M138" t="str">
        <f t="shared" si="2"/>
        <v>medium risk</v>
      </c>
    </row>
    <row r="139" spans="1:13">
      <c r="A139" s="7" t="s">
        <v>258</v>
      </c>
      <c r="B139" s="9" t="s">
        <v>259</v>
      </c>
      <c r="C139" s="7">
        <v>2013</v>
      </c>
      <c r="D139" s="7" t="s">
        <v>144</v>
      </c>
      <c r="E139" s="7" t="s">
        <v>29</v>
      </c>
      <c r="F139" s="7" t="s">
        <v>41</v>
      </c>
      <c r="G139" s="7">
        <v>1502</v>
      </c>
      <c r="H139" s="7">
        <v>37</v>
      </c>
      <c r="I139" s="7" t="s">
        <v>30</v>
      </c>
      <c r="J139" s="7">
        <v>0</v>
      </c>
      <c r="K139" s="7">
        <v>0</v>
      </c>
      <c r="L139" s="7">
        <v>2.9</v>
      </c>
      <c r="M139" t="str">
        <f t="shared" si="2"/>
        <v>medium risk</v>
      </c>
    </row>
    <row r="140" spans="1:13">
      <c r="A140" s="7" t="s">
        <v>260</v>
      </c>
      <c r="B140" s="9" t="s">
        <v>261</v>
      </c>
      <c r="C140" s="7">
        <v>2013</v>
      </c>
      <c r="D140" s="7" t="s">
        <v>33</v>
      </c>
      <c r="E140" s="7" t="s">
        <v>34</v>
      </c>
      <c r="F140" s="7" t="s">
        <v>41</v>
      </c>
      <c r="G140" s="7">
        <v>952</v>
      </c>
      <c r="H140" s="7">
        <v>35</v>
      </c>
      <c r="I140" s="7" t="s">
        <v>35</v>
      </c>
      <c r="J140" s="7">
        <v>0</v>
      </c>
      <c r="K140" s="7">
        <v>1</v>
      </c>
      <c r="L140" s="7">
        <v>-20.2</v>
      </c>
      <c r="M140" t="str">
        <f t="shared" si="2"/>
        <v>medium risk</v>
      </c>
    </row>
    <row r="141" spans="1:13">
      <c r="A141" s="7" t="s">
        <v>262</v>
      </c>
      <c r="B141" s="9">
        <v>41281</v>
      </c>
      <c r="C141" s="7">
        <v>2013</v>
      </c>
      <c r="D141" s="7" t="s">
        <v>22</v>
      </c>
      <c r="E141" s="7" t="s">
        <v>76</v>
      </c>
      <c r="F141" s="7" t="s">
        <v>41</v>
      </c>
      <c r="G141" s="7">
        <v>2502</v>
      </c>
      <c r="H141" s="7">
        <v>33</v>
      </c>
      <c r="I141" s="7" t="s">
        <v>25</v>
      </c>
      <c r="J141" s="7">
        <v>1</v>
      </c>
      <c r="K141" s="7">
        <v>0</v>
      </c>
      <c r="L141" s="7">
        <v>10.1</v>
      </c>
      <c r="M141" t="str">
        <f t="shared" si="2"/>
        <v>high risk</v>
      </c>
    </row>
    <row r="142" spans="1:13">
      <c r="A142" s="7" t="s">
        <v>263</v>
      </c>
      <c r="B142" s="9" t="s">
        <v>264</v>
      </c>
      <c r="C142" s="7">
        <v>2013</v>
      </c>
      <c r="D142" s="7" t="s">
        <v>101</v>
      </c>
      <c r="E142" s="7" t="s">
        <v>34</v>
      </c>
      <c r="F142" s="7" t="s">
        <v>41</v>
      </c>
      <c r="G142" s="7">
        <v>491</v>
      </c>
      <c r="H142" s="7">
        <v>36</v>
      </c>
      <c r="I142" s="7" t="s">
        <v>30</v>
      </c>
      <c r="J142" s="7">
        <v>0</v>
      </c>
      <c r="K142" s="7">
        <v>0</v>
      </c>
      <c r="L142" s="7">
        <v>-4.8</v>
      </c>
      <c r="M142" t="str">
        <f t="shared" si="2"/>
        <v>low risk</v>
      </c>
    </row>
    <row r="143" spans="1:13">
      <c r="A143" s="7" t="s">
        <v>265</v>
      </c>
      <c r="B143" s="9" t="s">
        <v>266</v>
      </c>
      <c r="C143" s="7">
        <v>2013</v>
      </c>
      <c r="D143" s="7" t="s">
        <v>144</v>
      </c>
      <c r="E143" s="7" t="s">
        <v>34</v>
      </c>
      <c r="F143" s="7" t="s">
        <v>41</v>
      </c>
      <c r="G143" s="7">
        <v>1582</v>
      </c>
      <c r="H143" s="7">
        <v>40</v>
      </c>
      <c r="I143" s="7" t="s">
        <v>35</v>
      </c>
      <c r="J143" s="7">
        <v>0</v>
      </c>
      <c r="K143" s="7">
        <v>1</v>
      </c>
      <c r="L143" s="7">
        <v>-16.2</v>
      </c>
      <c r="M143" t="str">
        <f t="shared" si="2"/>
        <v>medium risk</v>
      </c>
    </row>
    <row r="144" spans="1:13">
      <c r="A144" s="7" t="s">
        <v>267</v>
      </c>
      <c r="B144" s="9" t="s">
        <v>268</v>
      </c>
      <c r="C144" s="7">
        <v>2013</v>
      </c>
      <c r="D144" s="7" t="s">
        <v>33</v>
      </c>
      <c r="E144" s="7" t="s">
        <v>38</v>
      </c>
      <c r="F144" s="7" t="s">
        <v>24</v>
      </c>
      <c r="G144" s="7">
        <v>200</v>
      </c>
      <c r="H144" s="7">
        <v>21</v>
      </c>
      <c r="I144" s="7" t="s">
        <v>25</v>
      </c>
      <c r="J144" s="7">
        <v>1</v>
      </c>
      <c r="K144" s="7">
        <v>0</v>
      </c>
      <c r="L144" s="7">
        <v>20.2</v>
      </c>
      <c r="M144" t="str">
        <f t="shared" si="2"/>
        <v>low risk</v>
      </c>
    </row>
    <row r="145" spans="1:13">
      <c r="A145" s="7" t="s">
        <v>269</v>
      </c>
      <c r="B145" s="9">
        <v>41463</v>
      </c>
      <c r="C145" s="7">
        <v>2013</v>
      </c>
      <c r="D145" s="7" t="s">
        <v>44</v>
      </c>
      <c r="E145" s="7" t="s">
        <v>47</v>
      </c>
      <c r="F145" s="7" t="s">
        <v>24</v>
      </c>
      <c r="G145" s="7">
        <v>231</v>
      </c>
      <c r="H145" s="7">
        <v>21</v>
      </c>
      <c r="I145" s="7" t="s">
        <v>25</v>
      </c>
      <c r="J145" s="7">
        <v>1</v>
      </c>
      <c r="K145" s="7">
        <v>0</v>
      </c>
      <c r="L145" s="7">
        <v>4.5</v>
      </c>
      <c r="M145" t="str">
        <f t="shared" si="2"/>
        <v>low risk</v>
      </c>
    </row>
    <row r="146" spans="1:13">
      <c r="A146" s="7" t="s">
        <v>270</v>
      </c>
      <c r="B146" s="9">
        <v>41463</v>
      </c>
      <c r="C146" s="7">
        <v>2013</v>
      </c>
      <c r="D146" s="7" t="s">
        <v>96</v>
      </c>
      <c r="E146" s="7" t="s">
        <v>34</v>
      </c>
      <c r="F146" s="7" t="s">
        <v>41</v>
      </c>
      <c r="G146" s="7">
        <v>389</v>
      </c>
      <c r="H146" s="7">
        <v>41</v>
      </c>
      <c r="I146" s="7" t="s">
        <v>25</v>
      </c>
      <c r="J146" s="7">
        <v>1</v>
      </c>
      <c r="K146" s="7">
        <v>0</v>
      </c>
      <c r="L146" s="7">
        <v>17.2</v>
      </c>
      <c r="M146" t="str">
        <f t="shared" si="2"/>
        <v>low risk</v>
      </c>
    </row>
    <row r="147" spans="1:13">
      <c r="A147" s="7" t="s">
        <v>271</v>
      </c>
      <c r="B147" s="9">
        <v>41494</v>
      </c>
      <c r="C147" s="7">
        <v>2013</v>
      </c>
      <c r="D147" s="7" t="s">
        <v>156</v>
      </c>
      <c r="E147" s="7" t="s">
        <v>47</v>
      </c>
      <c r="F147" s="7" t="s">
        <v>24</v>
      </c>
      <c r="G147" s="7">
        <v>150</v>
      </c>
      <c r="H147" s="7">
        <v>8</v>
      </c>
      <c r="I147" s="7" t="s">
        <v>25</v>
      </c>
      <c r="J147" s="7">
        <v>1</v>
      </c>
      <c r="K147" s="7">
        <v>0</v>
      </c>
      <c r="L147" s="7">
        <v>8.5</v>
      </c>
      <c r="M147" t="str">
        <f t="shared" si="2"/>
        <v>low risk</v>
      </c>
    </row>
    <row r="148" spans="1:13">
      <c r="A148" s="7" t="s">
        <v>272</v>
      </c>
      <c r="B148" s="9">
        <v>41586</v>
      </c>
      <c r="C148" s="7">
        <v>2013</v>
      </c>
      <c r="D148" s="7" t="s">
        <v>22</v>
      </c>
      <c r="E148" s="7" t="s">
        <v>63</v>
      </c>
      <c r="F148" s="7" t="s">
        <v>24</v>
      </c>
      <c r="G148" s="7">
        <v>213</v>
      </c>
      <c r="H148" s="7">
        <v>7</v>
      </c>
      <c r="I148" s="7" t="s">
        <v>30</v>
      </c>
      <c r="J148" s="7">
        <v>0</v>
      </c>
      <c r="K148" s="7">
        <v>0</v>
      </c>
      <c r="L148" s="7">
        <v>-4.5999999999999996</v>
      </c>
      <c r="M148" t="str">
        <f t="shared" si="2"/>
        <v>low risk</v>
      </c>
    </row>
    <row r="149" spans="1:13">
      <c r="A149" s="7" t="s">
        <v>273</v>
      </c>
      <c r="B149" s="9">
        <v>41283</v>
      </c>
      <c r="C149" s="7">
        <v>2013</v>
      </c>
      <c r="D149" s="7" t="s">
        <v>66</v>
      </c>
      <c r="E149" s="7" t="s">
        <v>83</v>
      </c>
      <c r="F149" s="7" t="s">
        <v>41</v>
      </c>
      <c r="G149" s="7">
        <v>1034</v>
      </c>
      <c r="H149" s="7">
        <v>31</v>
      </c>
      <c r="I149" s="7" t="s">
        <v>30</v>
      </c>
      <c r="J149" s="7">
        <v>0</v>
      </c>
      <c r="K149" s="7">
        <v>0</v>
      </c>
      <c r="L149" s="7">
        <v>-13.8</v>
      </c>
      <c r="M149" t="str">
        <f t="shared" si="2"/>
        <v>medium risk</v>
      </c>
    </row>
    <row r="150" spans="1:13">
      <c r="A150" s="7" t="s">
        <v>274</v>
      </c>
      <c r="B150" s="9">
        <v>41495</v>
      </c>
      <c r="C150" s="7">
        <v>2013</v>
      </c>
      <c r="D150" s="7" t="s">
        <v>68</v>
      </c>
      <c r="E150" s="7" t="s">
        <v>34</v>
      </c>
      <c r="F150" s="7" t="s">
        <v>24</v>
      </c>
      <c r="G150" s="7">
        <v>224</v>
      </c>
      <c r="H150" s="7">
        <v>21</v>
      </c>
      <c r="I150" s="7" t="s">
        <v>30</v>
      </c>
      <c r="J150" s="7">
        <v>0</v>
      </c>
      <c r="K150" s="7">
        <v>0</v>
      </c>
      <c r="L150" s="7">
        <v>-6.6</v>
      </c>
      <c r="M150" t="str">
        <f t="shared" si="2"/>
        <v>low risk</v>
      </c>
    </row>
    <row r="151" spans="1:13">
      <c r="A151" s="7" t="s">
        <v>275</v>
      </c>
      <c r="B151" s="9">
        <v>41315</v>
      </c>
      <c r="C151" s="7">
        <v>2013</v>
      </c>
      <c r="D151" s="7" t="s">
        <v>144</v>
      </c>
      <c r="E151" s="7" t="s">
        <v>83</v>
      </c>
      <c r="F151" s="7" t="s">
        <v>41</v>
      </c>
      <c r="G151" s="7">
        <v>268</v>
      </c>
      <c r="H151" s="7">
        <v>34</v>
      </c>
      <c r="I151" s="7" t="s">
        <v>25</v>
      </c>
      <c r="J151" s="7">
        <v>1</v>
      </c>
      <c r="K151" s="7">
        <v>0</v>
      </c>
      <c r="L151" s="7">
        <v>14.4</v>
      </c>
      <c r="M151" t="str">
        <f t="shared" si="2"/>
        <v>low risk</v>
      </c>
    </row>
    <row r="152" spans="1:13">
      <c r="A152" s="7" t="s">
        <v>276</v>
      </c>
      <c r="B152" s="9">
        <v>41465</v>
      </c>
      <c r="C152" s="7">
        <v>2013</v>
      </c>
      <c r="D152" s="7" t="s">
        <v>115</v>
      </c>
      <c r="E152" s="7" t="s">
        <v>47</v>
      </c>
      <c r="F152" s="7" t="s">
        <v>24</v>
      </c>
      <c r="G152" s="7">
        <v>132</v>
      </c>
      <c r="H152" s="7">
        <v>21</v>
      </c>
      <c r="I152" s="7" t="s">
        <v>25</v>
      </c>
      <c r="J152" s="7">
        <v>1</v>
      </c>
      <c r="K152" s="7">
        <v>0</v>
      </c>
      <c r="L152" s="7">
        <v>10.199999999999999</v>
      </c>
      <c r="M152" t="str">
        <f t="shared" si="2"/>
        <v>low risk</v>
      </c>
    </row>
    <row r="153" spans="1:13">
      <c r="A153" s="7" t="s">
        <v>277</v>
      </c>
      <c r="B153" s="9">
        <v>41557</v>
      </c>
      <c r="C153" s="7">
        <v>2013</v>
      </c>
      <c r="D153" s="7" t="s">
        <v>33</v>
      </c>
      <c r="E153" s="7" t="s">
        <v>78</v>
      </c>
      <c r="F153" s="7" t="s">
        <v>24</v>
      </c>
      <c r="G153" s="7">
        <v>530</v>
      </c>
      <c r="H153" s="7">
        <v>23</v>
      </c>
      <c r="I153" s="7" t="s">
        <v>35</v>
      </c>
      <c r="J153" s="7">
        <v>0</v>
      </c>
      <c r="K153" s="7">
        <v>1</v>
      </c>
      <c r="L153" s="7">
        <v>2.4</v>
      </c>
      <c r="M153" t="str">
        <f t="shared" si="2"/>
        <v>medium risk</v>
      </c>
    </row>
    <row r="154" spans="1:13">
      <c r="A154" s="7" t="s">
        <v>278</v>
      </c>
      <c r="B154" s="9" t="s">
        <v>279</v>
      </c>
      <c r="C154" s="7">
        <v>2013</v>
      </c>
      <c r="D154" s="7" t="s">
        <v>66</v>
      </c>
      <c r="E154" s="7" t="s">
        <v>38</v>
      </c>
      <c r="F154" s="7" t="s">
        <v>24</v>
      </c>
      <c r="G154" s="7">
        <v>405</v>
      </c>
      <c r="H154" s="7">
        <v>14</v>
      </c>
      <c r="I154" s="7" t="s">
        <v>25</v>
      </c>
      <c r="J154" s="7">
        <v>1</v>
      </c>
      <c r="K154" s="7">
        <v>0</v>
      </c>
      <c r="L154" s="7">
        <v>16.899999999999999</v>
      </c>
      <c r="M154" t="str">
        <f t="shared" si="2"/>
        <v>low risk</v>
      </c>
    </row>
    <row r="155" spans="1:13">
      <c r="A155" s="7" t="s">
        <v>280</v>
      </c>
      <c r="B155" s="9" t="s">
        <v>281</v>
      </c>
      <c r="C155" s="7">
        <v>2013</v>
      </c>
      <c r="D155" s="7" t="s">
        <v>28</v>
      </c>
      <c r="E155" s="7" t="s">
        <v>38</v>
      </c>
      <c r="F155" s="7" t="s">
        <v>41</v>
      </c>
      <c r="G155" s="7">
        <v>831</v>
      </c>
      <c r="H155" s="7">
        <v>36</v>
      </c>
      <c r="I155" s="7" t="s">
        <v>25</v>
      </c>
      <c r="J155" s="7">
        <v>1</v>
      </c>
      <c r="K155" s="7">
        <v>0</v>
      </c>
      <c r="L155" s="7">
        <v>9.6999999999999993</v>
      </c>
      <c r="M155" t="str">
        <f t="shared" si="2"/>
        <v>medium risk</v>
      </c>
    </row>
    <row r="156" spans="1:13">
      <c r="A156" s="7" t="s">
        <v>282</v>
      </c>
      <c r="B156" s="9">
        <v>41619</v>
      </c>
      <c r="C156" s="7">
        <v>2013</v>
      </c>
      <c r="D156" s="7" t="s">
        <v>75</v>
      </c>
      <c r="E156" s="7" t="s">
        <v>34</v>
      </c>
      <c r="F156" s="7" t="s">
        <v>41</v>
      </c>
      <c r="G156" s="7">
        <v>771</v>
      </c>
      <c r="H156" s="7">
        <v>27</v>
      </c>
      <c r="I156" s="7" t="s">
        <v>35</v>
      </c>
      <c r="J156" s="7">
        <v>0</v>
      </c>
      <c r="K156" s="7">
        <v>1</v>
      </c>
      <c r="L156" s="7">
        <v>-3.8</v>
      </c>
      <c r="M156" t="str">
        <f t="shared" si="2"/>
        <v>medium risk</v>
      </c>
    </row>
    <row r="157" spans="1:13">
      <c r="A157" s="7" t="s">
        <v>283</v>
      </c>
      <c r="B157" s="9" t="s">
        <v>284</v>
      </c>
      <c r="C157" s="7">
        <v>2013</v>
      </c>
      <c r="D157" s="7" t="s">
        <v>51</v>
      </c>
      <c r="E157" s="7" t="s">
        <v>76</v>
      </c>
      <c r="F157" s="7" t="s">
        <v>41</v>
      </c>
      <c r="G157" s="7">
        <v>544</v>
      </c>
      <c r="H157" s="7">
        <v>42</v>
      </c>
      <c r="I157" s="7" t="s">
        <v>25</v>
      </c>
      <c r="J157" s="7">
        <v>1</v>
      </c>
      <c r="K157" s="7">
        <v>0</v>
      </c>
      <c r="L157" s="7">
        <v>6.7</v>
      </c>
      <c r="M157" t="str">
        <f t="shared" si="2"/>
        <v>medium risk</v>
      </c>
    </row>
    <row r="158" spans="1:13">
      <c r="A158" s="7" t="s">
        <v>285</v>
      </c>
      <c r="B158" s="9">
        <v>41437</v>
      </c>
      <c r="C158" s="7">
        <v>2013</v>
      </c>
      <c r="D158" s="7" t="s">
        <v>174</v>
      </c>
      <c r="E158" s="7" t="s">
        <v>34</v>
      </c>
      <c r="F158" s="7" t="s">
        <v>24</v>
      </c>
      <c r="G158" s="7">
        <v>261</v>
      </c>
      <c r="H158" s="7">
        <v>14</v>
      </c>
      <c r="I158" s="7" t="s">
        <v>25</v>
      </c>
      <c r="J158" s="7">
        <v>1</v>
      </c>
      <c r="K158" s="7">
        <v>0</v>
      </c>
      <c r="L158" s="7">
        <v>7.7</v>
      </c>
      <c r="M158" t="str">
        <f t="shared" si="2"/>
        <v>low risk</v>
      </c>
    </row>
    <row r="159" spans="1:13">
      <c r="A159" s="7" t="s">
        <v>286</v>
      </c>
      <c r="B159" s="9">
        <v>41498</v>
      </c>
      <c r="C159" s="7">
        <v>2013</v>
      </c>
      <c r="D159" s="7" t="s">
        <v>112</v>
      </c>
      <c r="E159" s="7" t="s">
        <v>76</v>
      </c>
      <c r="F159" s="7" t="s">
        <v>24</v>
      </c>
      <c r="G159" s="7">
        <v>179</v>
      </c>
      <c r="H159" s="7">
        <v>22</v>
      </c>
      <c r="I159" s="7" t="s">
        <v>35</v>
      </c>
      <c r="J159" s="7">
        <v>0</v>
      </c>
      <c r="K159" s="7">
        <v>1</v>
      </c>
      <c r="L159" s="7">
        <v>-29.5</v>
      </c>
      <c r="M159" t="str">
        <f t="shared" si="2"/>
        <v>low risk</v>
      </c>
    </row>
    <row r="160" spans="1:13">
      <c r="A160" s="7" t="s">
        <v>287</v>
      </c>
      <c r="B160" s="9" t="s">
        <v>288</v>
      </c>
      <c r="C160" s="7">
        <v>2013</v>
      </c>
      <c r="D160" s="7" t="s">
        <v>46</v>
      </c>
      <c r="E160" s="7" t="s">
        <v>83</v>
      </c>
      <c r="F160" s="7" t="s">
        <v>41</v>
      </c>
      <c r="G160" s="7">
        <v>548</v>
      </c>
      <c r="H160" s="7">
        <v>45</v>
      </c>
      <c r="I160" s="7" t="s">
        <v>25</v>
      </c>
      <c r="J160" s="7">
        <v>1</v>
      </c>
      <c r="K160" s="7">
        <v>0</v>
      </c>
      <c r="L160" s="7">
        <v>7.8</v>
      </c>
      <c r="M160" t="str">
        <f t="shared" si="2"/>
        <v>medium risk</v>
      </c>
    </row>
    <row r="161" spans="1:13">
      <c r="A161" s="7" t="s">
        <v>289</v>
      </c>
      <c r="B161" s="9">
        <v>41821</v>
      </c>
      <c r="C161" s="7">
        <v>2014</v>
      </c>
      <c r="D161" s="7" t="s">
        <v>37</v>
      </c>
      <c r="E161" s="7" t="s">
        <v>34</v>
      </c>
      <c r="F161" s="7" t="s">
        <v>24</v>
      </c>
      <c r="G161" s="7">
        <v>218</v>
      </c>
      <c r="H161" s="7">
        <v>13</v>
      </c>
      <c r="I161" s="7" t="s">
        <v>30</v>
      </c>
      <c r="J161" s="7">
        <v>0</v>
      </c>
      <c r="K161" s="7">
        <v>0</v>
      </c>
      <c r="L161" s="7">
        <v>-8.4</v>
      </c>
      <c r="M161" t="str">
        <f t="shared" si="2"/>
        <v>low risk</v>
      </c>
    </row>
    <row r="162" spans="1:13">
      <c r="A162" s="7" t="s">
        <v>290</v>
      </c>
      <c r="B162" s="9" t="s">
        <v>291</v>
      </c>
      <c r="C162" s="7">
        <v>2014</v>
      </c>
      <c r="D162" s="7" t="s">
        <v>174</v>
      </c>
      <c r="E162" s="7" t="s">
        <v>29</v>
      </c>
      <c r="F162" s="7" t="s">
        <v>41</v>
      </c>
      <c r="G162" s="7">
        <v>783</v>
      </c>
      <c r="H162" s="7">
        <v>38</v>
      </c>
      <c r="I162" s="7" t="s">
        <v>30</v>
      </c>
      <c r="J162" s="7">
        <v>0</v>
      </c>
      <c r="K162" s="7">
        <v>0</v>
      </c>
      <c r="L162" s="7">
        <v>-11.1</v>
      </c>
      <c r="M162" t="str">
        <f t="shared" si="2"/>
        <v>medium risk</v>
      </c>
    </row>
    <row r="163" spans="1:13">
      <c r="A163" s="7" t="s">
        <v>292</v>
      </c>
      <c r="B163" s="9" t="s">
        <v>293</v>
      </c>
      <c r="C163" s="7">
        <v>2014</v>
      </c>
      <c r="D163" s="7" t="s">
        <v>107</v>
      </c>
      <c r="E163" s="7" t="s">
        <v>76</v>
      </c>
      <c r="F163" s="7" t="s">
        <v>41</v>
      </c>
      <c r="G163" s="7">
        <v>504</v>
      </c>
      <c r="H163" s="7">
        <v>36</v>
      </c>
      <c r="I163" s="7" t="s">
        <v>25</v>
      </c>
      <c r="J163" s="7">
        <v>1</v>
      </c>
      <c r="K163" s="7">
        <v>0</v>
      </c>
      <c r="L163" s="7">
        <v>13.5</v>
      </c>
      <c r="M163" t="str">
        <f t="shared" si="2"/>
        <v>medium risk</v>
      </c>
    </row>
    <row r="164" spans="1:13">
      <c r="A164" s="7" t="s">
        <v>294</v>
      </c>
      <c r="B164" s="9" t="s">
        <v>295</v>
      </c>
      <c r="C164" s="7">
        <v>2014</v>
      </c>
      <c r="D164" s="7" t="s">
        <v>75</v>
      </c>
      <c r="E164" s="7" t="s">
        <v>38</v>
      </c>
      <c r="F164" s="7" t="s">
        <v>24</v>
      </c>
      <c r="G164" s="7">
        <v>224</v>
      </c>
      <c r="H164" s="7">
        <v>9</v>
      </c>
      <c r="I164" s="7" t="s">
        <v>25</v>
      </c>
      <c r="J164" s="7">
        <v>1</v>
      </c>
      <c r="K164" s="7">
        <v>0</v>
      </c>
      <c r="L164" s="7">
        <v>6.3</v>
      </c>
      <c r="M164" t="str">
        <f t="shared" si="2"/>
        <v>low risk</v>
      </c>
    </row>
    <row r="165" spans="1:13">
      <c r="A165" s="7" t="s">
        <v>296</v>
      </c>
      <c r="B165" s="9">
        <v>41762</v>
      </c>
      <c r="C165" s="7">
        <v>2014</v>
      </c>
      <c r="D165" s="7" t="s">
        <v>68</v>
      </c>
      <c r="E165" s="7" t="s">
        <v>47</v>
      </c>
      <c r="F165" s="7" t="s">
        <v>41</v>
      </c>
      <c r="G165" s="7">
        <v>1729</v>
      </c>
      <c r="H165" s="7">
        <v>30</v>
      </c>
      <c r="I165" s="7" t="s">
        <v>25</v>
      </c>
      <c r="J165" s="7">
        <v>1</v>
      </c>
      <c r="K165" s="7">
        <v>0</v>
      </c>
      <c r="L165" s="7">
        <v>1.9</v>
      </c>
      <c r="M165" t="str">
        <f t="shared" si="2"/>
        <v>medium risk</v>
      </c>
    </row>
    <row r="166" spans="1:13">
      <c r="A166" s="7" t="s">
        <v>297</v>
      </c>
      <c r="B166" s="9">
        <v>41793</v>
      </c>
      <c r="C166" s="7">
        <v>2014</v>
      </c>
      <c r="D166" s="7" t="s">
        <v>96</v>
      </c>
      <c r="E166" s="7" t="s">
        <v>34</v>
      </c>
      <c r="F166" s="7" t="s">
        <v>24</v>
      </c>
      <c r="G166" s="7">
        <v>351</v>
      </c>
      <c r="H166" s="7">
        <v>19</v>
      </c>
      <c r="I166" s="7" t="s">
        <v>25</v>
      </c>
      <c r="J166" s="7">
        <v>1</v>
      </c>
      <c r="K166" s="7">
        <v>0</v>
      </c>
      <c r="L166" s="7">
        <v>10.9</v>
      </c>
      <c r="M166" t="str">
        <f t="shared" si="2"/>
        <v>low risk</v>
      </c>
    </row>
    <row r="167" spans="1:13">
      <c r="A167" s="7" t="s">
        <v>298</v>
      </c>
      <c r="B167" s="9" t="s">
        <v>299</v>
      </c>
      <c r="C167" s="7">
        <v>2014</v>
      </c>
      <c r="D167" s="7" t="s">
        <v>144</v>
      </c>
      <c r="E167" s="7" t="s">
        <v>47</v>
      </c>
      <c r="F167" s="7" t="s">
        <v>24</v>
      </c>
      <c r="G167" s="7">
        <v>170</v>
      </c>
      <c r="H167" s="7">
        <v>16</v>
      </c>
      <c r="I167" s="7" t="s">
        <v>35</v>
      </c>
      <c r="J167" s="7">
        <v>0</v>
      </c>
      <c r="K167" s="7">
        <v>1</v>
      </c>
      <c r="L167" s="7">
        <v>-23.9</v>
      </c>
      <c r="M167" t="str">
        <f t="shared" si="2"/>
        <v>low risk</v>
      </c>
    </row>
    <row r="168" spans="1:13">
      <c r="A168" s="7" t="s">
        <v>300</v>
      </c>
      <c r="B168" s="9" t="s">
        <v>301</v>
      </c>
      <c r="C168" s="7">
        <v>2014</v>
      </c>
      <c r="D168" s="7" t="s">
        <v>115</v>
      </c>
      <c r="E168" s="7" t="s">
        <v>63</v>
      </c>
      <c r="F168" s="7" t="s">
        <v>24</v>
      </c>
      <c r="G168" s="7">
        <v>161</v>
      </c>
      <c r="H168" s="7">
        <v>22</v>
      </c>
      <c r="I168" s="7" t="s">
        <v>35</v>
      </c>
      <c r="J168" s="7">
        <v>0</v>
      </c>
      <c r="K168" s="7">
        <v>1</v>
      </c>
      <c r="L168" s="7">
        <v>-10.3</v>
      </c>
      <c r="M168" t="str">
        <f t="shared" si="2"/>
        <v>low risk</v>
      </c>
    </row>
    <row r="169" spans="1:13">
      <c r="A169" s="7" t="s">
        <v>302</v>
      </c>
      <c r="B169" s="9">
        <v>41643</v>
      </c>
      <c r="C169" s="7">
        <v>2014</v>
      </c>
      <c r="D169" s="7" t="s">
        <v>101</v>
      </c>
      <c r="E169" s="7" t="s">
        <v>23</v>
      </c>
      <c r="F169" s="7" t="s">
        <v>24</v>
      </c>
      <c r="G169" s="7">
        <v>164</v>
      </c>
      <c r="H169" s="7">
        <v>22</v>
      </c>
      <c r="I169" s="7" t="s">
        <v>25</v>
      </c>
      <c r="J169" s="7">
        <v>1</v>
      </c>
      <c r="K169" s="7">
        <v>0</v>
      </c>
      <c r="L169" s="7">
        <v>16.899999999999999</v>
      </c>
      <c r="M169" t="str">
        <f t="shared" si="2"/>
        <v>low risk</v>
      </c>
    </row>
    <row r="170" spans="1:13">
      <c r="A170" s="7" t="s">
        <v>303</v>
      </c>
      <c r="B170" s="9">
        <v>41763</v>
      </c>
      <c r="C170" s="7">
        <v>2014</v>
      </c>
      <c r="D170" s="7" t="s">
        <v>75</v>
      </c>
      <c r="E170" s="7" t="s">
        <v>76</v>
      </c>
      <c r="F170" s="7" t="s">
        <v>41</v>
      </c>
      <c r="G170" s="7">
        <v>1469</v>
      </c>
      <c r="H170" s="7">
        <v>31</v>
      </c>
      <c r="I170" s="7" t="s">
        <v>30</v>
      </c>
      <c r="J170" s="7">
        <v>0</v>
      </c>
      <c r="K170" s="7">
        <v>0</v>
      </c>
      <c r="L170" s="7">
        <v>2.9</v>
      </c>
      <c r="M170" t="str">
        <f t="shared" si="2"/>
        <v>medium risk</v>
      </c>
    </row>
    <row r="171" spans="1:13">
      <c r="A171" s="7" t="s">
        <v>304</v>
      </c>
      <c r="B171" s="9" t="s">
        <v>305</v>
      </c>
      <c r="C171" s="7">
        <v>2014</v>
      </c>
      <c r="D171" s="7" t="s">
        <v>194</v>
      </c>
      <c r="E171" s="7" t="s">
        <v>29</v>
      </c>
      <c r="F171" s="7" t="s">
        <v>41</v>
      </c>
      <c r="G171" s="7">
        <v>334</v>
      </c>
      <c r="H171" s="7">
        <v>20</v>
      </c>
      <c r="I171" s="7" t="s">
        <v>25</v>
      </c>
      <c r="J171" s="7">
        <v>1</v>
      </c>
      <c r="K171" s="7">
        <v>0</v>
      </c>
      <c r="L171" s="7">
        <v>13.9</v>
      </c>
      <c r="M171" t="str">
        <f t="shared" si="2"/>
        <v>low risk</v>
      </c>
    </row>
    <row r="172" spans="1:13">
      <c r="A172" s="7" t="s">
        <v>306</v>
      </c>
      <c r="B172" s="9" t="s">
        <v>307</v>
      </c>
      <c r="C172" s="7">
        <v>2014</v>
      </c>
      <c r="D172" s="7" t="s">
        <v>58</v>
      </c>
      <c r="E172" s="7" t="s">
        <v>83</v>
      </c>
      <c r="F172" s="7" t="s">
        <v>41</v>
      </c>
      <c r="G172" s="7">
        <v>1124</v>
      </c>
      <c r="H172" s="7">
        <v>44</v>
      </c>
      <c r="I172" s="7" t="s">
        <v>35</v>
      </c>
      <c r="J172" s="7">
        <v>0</v>
      </c>
      <c r="K172" s="7">
        <v>1</v>
      </c>
      <c r="L172" s="7">
        <v>-7.3</v>
      </c>
      <c r="M172" t="str">
        <f t="shared" si="2"/>
        <v>medium risk</v>
      </c>
    </row>
    <row r="173" spans="1:13">
      <c r="A173" s="7" t="s">
        <v>308</v>
      </c>
      <c r="B173" s="9" t="s">
        <v>309</v>
      </c>
      <c r="C173" s="7">
        <v>2014</v>
      </c>
      <c r="D173" s="7" t="s">
        <v>28</v>
      </c>
      <c r="E173" s="7" t="s">
        <v>78</v>
      </c>
      <c r="F173" s="7" t="s">
        <v>41</v>
      </c>
      <c r="G173" s="7">
        <v>461</v>
      </c>
      <c r="H173" s="7">
        <v>42</v>
      </c>
      <c r="I173" s="7" t="s">
        <v>25</v>
      </c>
      <c r="J173" s="7">
        <v>1</v>
      </c>
      <c r="K173" s="7">
        <v>0</v>
      </c>
      <c r="L173" s="7">
        <v>11.3</v>
      </c>
      <c r="M173" t="str">
        <f t="shared" si="2"/>
        <v>low risk</v>
      </c>
    </row>
    <row r="174" spans="1:13">
      <c r="A174" s="7" t="s">
        <v>310</v>
      </c>
      <c r="B174" s="9" t="s">
        <v>311</v>
      </c>
      <c r="C174" s="7">
        <v>2014</v>
      </c>
      <c r="D174" s="7" t="s">
        <v>107</v>
      </c>
      <c r="E174" s="7" t="s">
        <v>76</v>
      </c>
      <c r="F174" s="7" t="s">
        <v>24</v>
      </c>
      <c r="G174" s="7">
        <v>502</v>
      </c>
      <c r="H174" s="7">
        <v>15</v>
      </c>
      <c r="I174" s="7" t="s">
        <v>25</v>
      </c>
      <c r="J174" s="7">
        <v>1</v>
      </c>
      <c r="K174" s="7">
        <v>0</v>
      </c>
      <c r="L174" s="7">
        <v>8.9</v>
      </c>
      <c r="M174" t="str">
        <f t="shared" si="2"/>
        <v>medium risk</v>
      </c>
    </row>
    <row r="175" spans="1:13">
      <c r="A175" s="7" t="s">
        <v>312</v>
      </c>
      <c r="B175" s="9">
        <v>41703</v>
      </c>
      <c r="C175" s="7">
        <v>2014</v>
      </c>
      <c r="D175" s="7" t="s">
        <v>156</v>
      </c>
      <c r="E175" s="7" t="s">
        <v>63</v>
      </c>
      <c r="F175" s="7" t="s">
        <v>41</v>
      </c>
      <c r="G175" s="7">
        <v>424</v>
      </c>
      <c r="H175" s="7">
        <v>45</v>
      </c>
      <c r="I175" s="7" t="s">
        <v>35</v>
      </c>
      <c r="J175" s="7">
        <v>0</v>
      </c>
      <c r="K175" s="7">
        <v>1</v>
      </c>
      <c r="L175" s="7">
        <v>4.7</v>
      </c>
      <c r="M175" t="str">
        <f t="shared" si="2"/>
        <v>low risk</v>
      </c>
    </row>
    <row r="176" spans="1:13">
      <c r="A176" s="7" t="s">
        <v>313</v>
      </c>
      <c r="B176" s="9">
        <v>41703</v>
      </c>
      <c r="C176" s="7">
        <v>2014</v>
      </c>
      <c r="D176" s="7" t="s">
        <v>96</v>
      </c>
      <c r="E176" s="7" t="s">
        <v>83</v>
      </c>
      <c r="F176" s="7" t="s">
        <v>41</v>
      </c>
      <c r="G176" s="7">
        <v>543</v>
      </c>
      <c r="H176" s="7">
        <v>34</v>
      </c>
      <c r="I176" s="7" t="s">
        <v>35</v>
      </c>
      <c r="J176" s="7">
        <v>0</v>
      </c>
      <c r="K176" s="7">
        <v>1</v>
      </c>
      <c r="L176" s="7">
        <v>-0.7</v>
      </c>
      <c r="M176" t="str">
        <f t="shared" si="2"/>
        <v>medium risk</v>
      </c>
    </row>
    <row r="177" spans="1:13">
      <c r="A177" s="7" t="s">
        <v>314</v>
      </c>
      <c r="B177" s="9">
        <v>41978</v>
      </c>
      <c r="C177" s="7">
        <v>2014</v>
      </c>
      <c r="D177" s="7" t="s">
        <v>37</v>
      </c>
      <c r="E177" s="7" t="s">
        <v>38</v>
      </c>
      <c r="F177" s="7" t="s">
        <v>41</v>
      </c>
      <c r="G177" s="7">
        <v>532</v>
      </c>
      <c r="H177" s="7">
        <v>29</v>
      </c>
      <c r="I177" s="7" t="s">
        <v>25</v>
      </c>
      <c r="J177" s="7">
        <v>1</v>
      </c>
      <c r="K177" s="7">
        <v>0</v>
      </c>
      <c r="L177" s="7">
        <v>6.1</v>
      </c>
      <c r="M177" t="str">
        <f t="shared" si="2"/>
        <v>medium risk</v>
      </c>
    </row>
    <row r="178" spans="1:13">
      <c r="A178" s="7" t="s">
        <v>315</v>
      </c>
      <c r="B178" s="9" t="s">
        <v>316</v>
      </c>
      <c r="C178" s="7">
        <v>2014</v>
      </c>
      <c r="D178" s="7" t="s">
        <v>28</v>
      </c>
      <c r="E178" s="7" t="s">
        <v>54</v>
      </c>
      <c r="F178" s="7" t="s">
        <v>41</v>
      </c>
      <c r="G178" s="7">
        <v>1737</v>
      </c>
      <c r="H178" s="7">
        <v>46</v>
      </c>
      <c r="I178" s="7" t="s">
        <v>25</v>
      </c>
      <c r="J178" s="7">
        <v>1</v>
      </c>
      <c r="K178" s="7">
        <v>0</v>
      </c>
      <c r="L178" s="7">
        <v>14.9</v>
      </c>
      <c r="M178" t="str">
        <f t="shared" si="2"/>
        <v>medium risk</v>
      </c>
    </row>
    <row r="179" spans="1:13">
      <c r="A179" s="7" t="s">
        <v>317</v>
      </c>
      <c r="B179" s="9">
        <v>41796</v>
      </c>
      <c r="C179" s="7">
        <v>2014</v>
      </c>
      <c r="D179" s="7" t="s">
        <v>144</v>
      </c>
      <c r="E179" s="7" t="s">
        <v>34</v>
      </c>
      <c r="F179" s="7" t="s">
        <v>41</v>
      </c>
      <c r="G179" s="7">
        <v>1709</v>
      </c>
      <c r="H179" s="7">
        <v>32</v>
      </c>
      <c r="I179" s="7" t="s">
        <v>35</v>
      </c>
      <c r="J179" s="7">
        <v>0</v>
      </c>
      <c r="K179" s="7">
        <v>1</v>
      </c>
      <c r="L179" s="7">
        <v>-26.1</v>
      </c>
      <c r="M179" t="str">
        <f t="shared" si="2"/>
        <v>medium risk</v>
      </c>
    </row>
    <row r="180" spans="1:13">
      <c r="A180" s="7" t="s">
        <v>318</v>
      </c>
      <c r="B180" s="9">
        <v>41918</v>
      </c>
      <c r="C180" s="7">
        <v>2014</v>
      </c>
      <c r="D180" s="7" t="s">
        <v>156</v>
      </c>
      <c r="E180" s="7" t="s">
        <v>34</v>
      </c>
      <c r="F180" s="7" t="s">
        <v>41</v>
      </c>
      <c r="G180" s="7">
        <v>1665</v>
      </c>
      <c r="H180" s="7">
        <v>42</v>
      </c>
      <c r="I180" s="7" t="s">
        <v>25</v>
      </c>
      <c r="J180" s="7">
        <v>1</v>
      </c>
      <c r="K180" s="7">
        <v>0</v>
      </c>
      <c r="L180" s="7">
        <v>8.1999999999999993</v>
      </c>
      <c r="M180" t="str">
        <f t="shared" si="2"/>
        <v>medium risk</v>
      </c>
    </row>
    <row r="181" spans="1:13">
      <c r="A181" s="7" t="s">
        <v>319</v>
      </c>
      <c r="B181" s="9">
        <v>41827</v>
      </c>
      <c r="C181" s="7">
        <v>2014</v>
      </c>
      <c r="D181" s="7" t="s">
        <v>112</v>
      </c>
      <c r="E181" s="7" t="s">
        <v>34</v>
      </c>
      <c r="F181" s="7" t="s">
        <v>41</v>
      </c>
      <c r="G181" s="7">
        <v>1883</v>
      </c>
      <c r="H181" s="7">
        <v>25</v>
      </c>
      <c r="I181" s="7" t="s">
        <v>30</v>
      </c>
      <c r="J181" s="7">
        <v>0</v>
      </c>
      <c r="K181" s="7">
        <v>0</v>
      </c>
      <c r="L181" s="7">
        <v>4.9000000000000004</v>
      </c>
      <c r="M181" t="str">
        <f t="shared" si="2"/>
        <v>medium risk</v>
      </c>
    </row>
    <row r="182" spans="1:13">
      <c r="A182" s="7" t="s">
        <v>320</v>
      </c>
      <c r="B182" s="9" t="s">
        <v>321</v>
      </c>
      <c r="C182" s="7">
        <v>2014</v>
      </c>
      <c r="D182" s="7" t="s">
        <v>58</v>
      </c>
      <c r="E182" s="7" t="s">
        <v>34</v>
      </c>
      <c r="F182" s="7" t="s">
        <v>41</v>
      </c>
      <c r="G182" s="7">
        <v>2629</v>
      </c>
      <c r="H182" s="7">
        <v>37</v>
      </c>
      <c r="I182" s="7" t="s">
        <v>25</v>
      </c>
      <c r="J182" s="7">
        <v>1</v>
      </c>
      <c r="K182" s="7">
        <v>0</v>
      </c>
      <c r="L182" s="7">
        <v>10.3</v>
      </c>
      <c r="M182" t="str">
        <f t="shared" si="2"/>
        <v>high risk</v>
      </c>
    </row>
    <row r="183" spans="1:13">
      <c r="A183" s="7" t="s">
        <v>322</v>
      </c>
      <c r="B183" s="9" t="s">
        <v>323</v>
      </c>
      <c r="C183" s="7">
        <v>2014</v>
      </c>
      <c r="D183" s="7" t="s">
        <v>115</v>
      </c>
      <c r="E183" s="7" t="s">
        <v>34</v>
      </c>
      <c r="F183" s="7" t="s">
        <v>24</v>
      </c>
      <c r="G183" s="7">
        <v>128</v>
      </c>
      <c r="H183" s="7">
        <v>27</v>
      </c>
      <c r="I183" s="7" t="s">
        <v>25</v>
      </c>
      <c r="J183" s="7">
        <v>1</v>
      </c>
      <c r="K183" s="7">
        <v>0</v>
      </c>
      <c r="L183" s="7">
        <v>7.9</v>
      </c>
      <c r="M183" t="str">
        <f t="shared" si="2"/>
        <v>low risk</v>
      </c>
    </row>
    <row r="184" spans="1:13">
      <c r="A184" s="7" t="s">
        <v>324</v>
      </c>
      <c r="B184" s="9">
        <v>41707</v>
      </c>
      <c r="C184" s="7">
        <v>2014</v>
      </c>
      <c r="D184" s="7" t="s">
        <v>194</v>
      </c>
      <c r="E184" s="7" t="s">
        <v>76</v>
      </c>
      <c r="F184" s="7" t="s">
        <v>41</v>
      </c>
      <c r="G184" s="7">
        <v>553</v>
      </c>
      <c r="H184" s="7">
        <v>38</v>
      </c>
      <c r="I184" s="7" t="s">
        <v>35</v>
      </c>
      <c r="J184" s="7">
        <v>0</v>
      </c>
      <c r="K184" s="7">
        <v>1</v>
      </c>
      <c r="L184" s="7">
        <v>-5.8</v>
      </c>
      <c r="M184" t="str">
        <f t="shared" si="2"/>
        <v>medium risk</v>
      </c>
    </row>
    <row r="185" spans="1:13">
      <c r="A185" s="7" t="s">
        <v>325</v>
      </c>
      <c r="B185" s="9" t="s">
        <v>326</v>
      </c>
      <c r="C185" s="7">
        <v>2014</v>
      </c>
      <c r="D185" s="7" t="s">
        <v>174</v>
      </c>
      <c r="E185" s="7" t="s">
        <v>83</v>
      </c>
      <c r="F185" s="7" t="s">
        <v>41</v>
      </c>
      <c r="G185" s="7">
        <v>501</v>
      </c>
      <c r="H185" s="7">
        <v>44</v>
      </c>
      <c r="I185" s="7" t="s">
        <v>35</v>
      </c>
      <c r="J185" s="7">
        <v>0</v>
      </c>
      <c r="K185" s="7">
        <v>1</v>
      </c>
      <c r="L185" s="7">
        <v>-18.3</v>
      </c>
      <c r="M185" t="str">
        <f t="shared" si="2"/>
        <v>medium risk</v>
      </c>
    </row>
    <row r="186" spans="1:13">
      <c r="A186" s="7" t="s">
        <v>327</v>
      </c>
      <c r="B186" s="9">
        <v>41801</v>
      </c>
      <c r="C186" s="7">
        <v>2014</v>
      </c>
      <c r="D186" s="7" t="s">
        <v>96</v>
      </c>
      <c r="E186" s="7" t="s">
        <v>76</v>
      </c>
      <c r="F186" s="7" t="s">
        <v>41</v>
      </c>
      <c r="G186" s="7">
        <v>1654</v>
      </c>
      <c r="H186" s="7">
        <v>48</v>
      </c>
      <c r="I186" s="7" t="s">
        <v>25</v>
      </c>
      <c r="J186" s="7">
        <v>1</v>
      </c>
      <c r="K186" s="7">
        <v>0</v>
      </c>
      <c r="L186" s="7">
        <v>5</v>
      </c>
      <c r="M186" t="str">
        <f t="shared" si="2"/>
        <v>medium risk</v>
      </c>
    </row>
    <row r="187" spans="1:13">
      <c r="A187" s="7" t="s">
        <v>328</v>
      </c>
      <c r="B187" s="9" t="s">
        <v>329</v>
      </c>
      <c r="C187" s="7">
        <v>2014</v>
      </c>
      <c r="D187" s="7" t="s">
        <v>28</v>
      </c>
      <c r="E187" s="7" t="s">
        <v>47</v>
      </c>
      <c r="F187" s="7" t="s">
        <v>41</v>
      </c>
      <c r="G187" s="7">
        <v>1149</v>
      </c>
      <c r="H187" s="7">
        <v>33</v>
      </c>
      <c r="I187" s="7" t="s">
        <v>25</v>
      </c>
      <c r="J187" s="7">
        <v>1</v>
      </c>
      <c r="K187" s="7">
        <v>0</v>
      </c>
      <c r="L187" s="7">
        <v>16.399999999999999</v>
      </c>
      <c r="M187" t="str">
        <f t="shared" si="2"/>
        <v>medium risk</v>
      </c>
    </row>
    <row r="188" spans="1:13">
      <c r="A188" s="7" t="s">
        <v>330</v>
      </c>
      <c r="B188" s="9" t="s">
        <v>331</v>
      </c>
      <c r="C188" s="7">
        <v>2014</v>
      </c>
      <c r="D188" s="7" t="s">
        <v>75</v>
      </c>
      <c r="E188" s="7" t="s">
        <v>34</v>
      </c>
      <c r="F188" s="7" t="s">
        <v>41</v>
      </c>
      <c r="G188" s="7">
        <v>1592</v>
      </c>
      <c r="H188" s="7">
        <v>31</v>
      </c>
      <c r="I188" s="7" t="s">
        <v>25</v>
      </c>
      <c r="J188" s="7">
        <v>1</v>
      </c>
      <c r="K188" s="7">
        <v>0</v>
      </c>
      <c r="L188" s="7">
        <v>6.3</v>
      </c>
      <c r="M188" t="str">
        <f t="shared" si="2"/>
        <v>medium risk</v>
      </c>
    </row>
    <row r="189" spans="1:13">
      <c r="A189" s="7" t="s">
        <v>332</v>
      </c>
      <c r="B189" s="9" t="s">
        <v>333</v>
      </c>
      <c r="C189" s="7">
        <v>2014</v>
      </c>
      <c r="D189" s="7" t="s">
        <v>28</v>
      </c>
      <c r="E189" s="7" t="s">
        <v>34</v>
      </c>
      <c r="F189" s="7" t="s">
        <v>24</v>
      </c>
      <c r="G189" s="7">
        <v>144</v>
      </c>
      <c r="H189" s="7">
        <v>15</v>
      </c>
      <c r="I189" s="7" t="s">
        <v>25</v>
      </c>
      <c r="J189" s="7">
        <v>1</v>
      </c>
      <c r="K189" s="7">
        <v>0</v>
      </c>
      <c r="L189" s="7">
        <v>13</v>
      </c>
      <c r="M189" t="str">
        <f t="shared" si="2"/>
        <v>low risk</v>
      </c>
    </row>
    <row r="190" spans="1:13">
      <c r="A190" s="7" t="s">
        <v>334</v>
      </c>
      <c r="B190" s="9">
        <v>41985</v>
      </c>
      <c r="C190" s="7">
        <v>2014</v>
      </c>
      <c r="D190" s="7" t="s">
        <v>112</v>
      </c>
      <c r="E190" s="7" t="s">
        <v>34</v>
      </c>
      <c r="F190" s="7" t="s">
        <v>24</v>
      </c>
      <c r="G190" s="7">
        <v>202</v>
      </c>
      <c r="H190" s="7">
        <v>16</v>
      </c>
      <c r="I190" s="7" t="s">
        <v>25</v>
      </c>
      <c r="J190" s="7">
        <v>1</v>
      </c>
      <c r="K190" s="7">
        <v>0</v>
      </c>
      <c r="L190" s="7">
        <v>12</v>
      </c>
      <c r="M190" t="str">
        <f t="shared" si="2"/>
        <v>low risk</v>
      </c>
    </row>
    <row r="191" spans="1:13">
      <c r="A191" s="7" t="s">
        <v>335</v>
      </c>
      <c r="B191" s="9" t="s">
        <v>336</v>
      </c>
      <c r="C191" s="7">
        <v>2014</v>
      </c>
      <c r="D191" s="7" t="s">
        <v>68</v>
      </c>
      <c r="E191" s="7" t="s">
        <v>34</v>
      </c>
      <c r="F191" s="7" t="s">
        <v>24</v>
      </c>
      <c r="G191" s="7">
        <v>52</v>
      </c>
      <c r="H191" s="7">
        <v>25</v>
      </c>
      <c r="I191" s="7" t="s">
        <v>30</v>
      </c>
      <c r="J191" s="7">
        <v>0</v>
      </c>
      <c r="K191" s="7">
        <v>0</v>
      </c>
      <c r="L191" s="7">
        <v>-13.6</v>
      </c>
      <c r="M191" t="str">
        <f t="shared" si="2"/>
        <v>low risk</v>
      </c>
    </row>
    <row r="192" spans="1:13">
      <c r="A192" s="7" t="s">
        <v>337</v>
      </c>
      <c r="B192" s="9" t="s">
        <v>336</v>
      </c>
      <c r="C192" s="7">
        <v>2014</v>
      </c>
      <c r="D192" s="7" t="s">
        <v>33</v>
      </c>
      <c r="E192" s="7" t="s">
        <v>34</v>
      </c>
      <c r="F192" s="7" t="s">
        <v>41</v>
      </c>
      <c r="G192" s="7">
        <v>852</v>
      </c>
      <c r="H192" s="7">
        <v>36</v>
      </c>
      <c r="I192" s="7" t="s">
        <v>25</v>
      </c>
      <c r="J192" s="7">
        <v>1</v>
      </c>
      <c r="K192" s="7">
        <v>0</v>
      </c>
      <c r="L192" s="7">
        <v>1.5</v>
      </c>
      <c r="M192" t="str">
        <f t="shared" si="2"/>
        <v>medium risk</v>
      </c>
    </row>
    <row r="193" spans="1:13">
      <c r="A193" s="7" t="s">
        <v>338</v>
      </c>
      <c r="B193" s="9">
        <v>42095</v>
      </c>
      <c r="C193" s="7">
        <v>2015</v>
      </c>
      <c r="D193" s="7" t="s">
        <v>194</v>
      </c>
      <c r="E193" s="7" t="s">
        <v>23</v>
      </c>
      <c r="F193" s="7" t="s">
        <v>41</v>
      </c>
      <c r="G193" s="7">
        <v>794</v>
      </c>
      <c r="H193" s="7">
        <v>36</v>
      </c>
      <c r="I193" s="7" t="s">
        <v>35</v>
      </c>
      <c r="J193" s="7">
        <v>0</v>
      </c>
      <c r="K193" s="7">
        <v>1</v>
      </c>
      <c r="L193" s="7">
        <v>-22.7</v>
      </c>
      <c r="M193" t="str">
        <f t="shared" si="2"/>
        <v>medium risk</v>
      </c>
    </row>
    <row r="194" spans="1:13">
      <c r="A194" s="7" t="s">
        <v>339</v>
      </c>
      <c r="B194" s="9">
        <v>42339</v>
      </c>
      <c r="C194" s="7">
        <v>2015</v>
      </c>
      <c r="D194" s="7" t="s">
        <v>101</v>
      </c>
      <c r="E194" s="7" t="s">
        <v>83</v>
      </c>
      <c r="F194" s="7" t="s">
        <v>41</v>
      </c>
      <c r="G194" s="7">
        <v>1530</v>
      </c>
      <c r="H194" s="7">
        <v>38</v>
      </c>
      <c r="I194" s="7" t="s">
        <v>35</v>
      </c>
      <c r="J194" s="7">
        <v>0</v>
      </c>
      <c r="K194" s="7">
        <v>1</v>
      </c>
      <c r="L194" s="7">
        <v>-19.2</v>
      </c>
      <c r="M194" t="str">
        <f t="shared" si="2"/>
        <v>medium risk</v>
      </c>
    </row>
    <row r="195" spans="1:13">
      <c r="A195" s="7" t="s">
        <v>340</v>
      </c>
      <c r="B195" s="9" t="s">
        <v>341</v>
      </c>
      <c r="C195" s="7">
        <v>2015</v>
      </c>
      <c r="D195" s="7" t="s">
        <v>144</v>
      </c>
      <c r="E195" s="7" t="s">
        <v>34</v>
      </c>
      <c r="F195" s="7" t="s">
        <v>24</v>
      </c>
      <c r="G195" s="7">
        <v>265</v>
      </c>
      <c r="H195" s="7">
        <v>14</v>
      </c>
      <c r="I195" s="7" t="s">
        <v>30</v>
      </c>
      <c r="J195" s="7">
        <v>0</v>
      </c>
      <c r="K195" s="7">
        <v>0</v>
      </c>
      <c r="L195" s="7">
        <v>-2.7</v>
      </c>
      <c r="M195" t="str">
        <f t="shared" ref="M195:M258" si="3">IF(G195&gt;2000,"high risk",IF(G195&gt;500,"medium risk","low risk"))</f>
        <v>low risk</v>
      </c>
    </row>
    <row r="196" spans="1:13">
      <c r="A196" s="7" t="s">
        <v>342</v>
      </c>
      <c r="B196" s="9" t="s">
        <v>343</v>
      </c>
      <c r="C196" s="7">
        <v>2015</v>
      </c>
      <c r="D196" s="7" t="s">
        <v>156</v>
      </c>
      <c r="E196" s="7" t="s">
        <v>29</v>
      </c>
      <c r="F196" s="7" t="s">
        <v>24</v>
      </c>
      <c r="G196" s="7">
        <v>242</v>
      </c>
      <c r="H196" s="7">
        <v>10</v>
      </c>
      <c r="I196" s="7" t="s">
        <v>25</v>
      </c>
      <c r="J196" s="7">
        <v>1</v>
      </c>
      <c r="K196" s="7">
        <v>0</v>
      </c>
      <c r="L196" s="7">
        <v>5.6</v>
      </c>
      <c r="M196" t="str">
        <f t="shared" si="3"/>
        <v>low risk</v>
      </c>
    </row>
    <row r="197" spans="1:13">
      <c r="A197" s="7" t="s">
        <v>344</v>
      </c>
      <c r="B197" s="9">
        <v>42096</v>
      </c>
      <c r="C197" s="7">
        <v>2015</v>
      </c>
      <c r="D197" s="7" t="s">
        <v>115</v>
      </c>
      <c r="E197" s="7" t="s">
        <v>38</v>
      </c>
      <c r="F197" s="7" t="s">
        <v>41</v>
      </c>
      <c r="G197" s="7">
        <v>648</v>
      </c>
      <c r="H197" s="7">
        <v>39</v>
      </c>
      <c r="I197" s="7" t="s">
        <v>35</v>
      </c>
      <c r="J197" s="7">
        <v>0</v>
      </c>
      <c r="K197" s="7">
        <v>1</v>
      </c>
      <c r="L197" s="7">
        <v>-15.9</v>
      </c>
      <c r="M197" t="str">
        <f t="shared" si="3"/>
        <v>medium risk</v>
      </c>
    </row>
    <row r="198" spans="1:13">
      <c r="A198" s="7" t="s">
        <v>345</v>
      </c>
      <c r="B198" s="9">
        <v>42126</v>
      </c>
      <c r="C198" s="7">
        <v>2015</v>
      </c>
      <c r="D198" s="7" t="s">
        <v>156</v>
      </c>
      <c r="E198" s="7" t="s">
        <v>34</v>
      </c>
      <c r="F198" s="7" t="s">
        <v>41</v>
      </c>
      <c r="G198" s="7">
        <v>811</v>
      </c>
      <c r="H198" s="7">
        <v>30</v>
      </c>
      <c r="I198" s="7" t="s">
        <v>25</v>
      </c>
      <c r="J198" s="7">
        <v>1</v>
      </c>
      <c r="K198" s="7">
        <v>0</v>
      </c>
      <c r="L198" s="7">
        <v>12.5</v>
      </c>
      <c r="M198" t="str">
        <f t="shared" si="3"/>
        <v>medium risk</v>
      </c>
    </row>
    <row r="199" spans="1:13">
      <c r="A199" s="7" t="s">
        <v>346</v>
      </c>
      <c r="B199" s="9" t="s">
        <v>347</v>
      </c>
      <c r="C199" s="7">
        <v>2015</v>
      </c>
      <c r="D199" s="7" t="s">
        <v>33</v>
      </c>
      <c r="E199" s="7" t="s">
        <v>47</v>
      </c>
      <c r="F199" s="7" t="s">
        <v>41</v>
      </c>
      <c r="G199" s="7">
        <v>841</v>
      </c>
      <c r="H199" s="7">
        <v>37</v>
      </c>
      <c r="I199" s="7" t="s">
        <v>25</v>
      </c>
      <c r="J199" s="7">
        <v>1</v>
      </c>
      <c r="K199" s="7">
        <v>0</v>
      </c>
      <c r="L199" s="7">
        <v>9.6999999999999993</v>
      </c>
      <c r="M199" t="str">
        <f t="shared" si="3"/>
        <v>medium risk</v>
      </c>
    </row>
    <row r="200" spans="1:13">
      <c r="A200" s="7" t="s">
        <v>348</v>
      </c>
      <c r="B200" s="9" t="s">
        <v>349</v>
      </c>
      <c r="C200" s="7">
        <v>2015</v>
      </c>
      <c r="D200" s="7" t="s">
        <v>194</v>
      </c>
      <c r="E200" s="7" t="s">
        <v>83</v>
      </c>
      <c r="F200" s="7" t="s">
        <v>24</v>
      </c>
      <c r="G200" s="7">
        <v>183</v>
      </c>
      <c r="H200" s="7">
        <v>14</v>
      </c>
      <c r="I200" s="7" t="s">
        <v>25</v>
      </c>
      <c r="J200" s="7">
        <v>1</v>
      </c>
      <c r="K200" s="7">
        <v>0</v>
      </c>
      <c r="L200" s="7">
        <v>3.5</v>
      </c>
      <c r="M200" t="str">
        <f t="shared" si="3"/>
        <v>low risk</v>
      </c>
    </row>
    <row r="201" spans="1:13">
      <c r="A201" s="7" t="s">
        <v>350</v>
      </c>
      <c r="B201" s="9" t="s">
        <v>351</v>
      </c>
      <c r="C201" s="7">
        <v>2015</v>
      </c>
      <c r="D201" s="7" t="s">
        <v>58</v>
      </c>
      <c r="E201" s="7" t="s">
        <v>76</v>
      </c>
      <c r="F201" s="7" t="s">
        <v>24</v>
      </c>
      <c r="G201" s="7">
        <v>115</v>
      </c>
      <c r="H201" s="7">
        <v>17</v>
      </c>
      <c r="I201" s="7" t="s">
        <v>25</v>
      </c>
      <c r="J201" s="7">
        <v>1</v>
      </c>
      <c r="K201" s="7">
        <v>0</v>
      </c>
      <c r="L201" s="7">
        <v>8.9</v>
      </c>
      <c r="M201" t="str">
        <f t="shared" si="3"/>
        <v>low risk</v>
      </c>
    </row>
    <row r="202" spans="1:13">
      <c r="A202" s="7" t="s">
        <v>352</v>
      </c>
      <c r="B202" s="9">
        <v>42311</v>
      </c>
      <c r="C202" s="7">
        <v>2015</v>
      </c>
      <c r="D202" s="7" t="s">
        <v>58</v>
      </c>
      <c r="E202" s="7" t="s">
        <v>47</v>
      </c>
      <c r="F202" s="7" t="s">
        <v>24</v>
      </c>
      <c r="G202" s="7">
        <v>185</v>
      </c>
      <c r="H202" s="7">
        <v>37</v>
      </c>
      <c r="I202" s="7" t="s">
        <v>25</v>
      </c>
      <c r="J202" s="7">
        <v>1</v>
      </c>
      <c r="K202" s="7">
        <v>0</v>
      </c>
      <c r="L202" s="7">
        <v>4.0999999999999996</v>
      </c>
      <c r="M202" t="str">
        <f t="shared" si="3"/>
        <v>low risk</v>
      </c>
    </row>
    <row r="203" spans="1:13">
      <c r="A203" s="7" t="s">
        <v>353</v>
      </c>
      <c r="B203" s="9" t="s">
        <v>354</v>
      </c>
      <c r="C203" s="7">
        <v>2015</v>
      </c>
      <c r="D203" s="7" t="s">
        <v>174</v>
      </c>
      <c r="E203" s="7" t="s">
        <v>34</v>
      </c>
      <c r="F203" s="7" t="s">
        <v>41</v>
      </c>
      <c r="G203" s="7">
        <v>1519</v>
      </c>
      <c r="H203" s="7">
        <v>33</v>
      </c>
      <c r="I203" s="7" t="s">
        <v>25</v>
      </c>
      <c r="J203" s="7">
        <v>1</v>
      </c>
      <c r="K203" s="7">
        <v>0</v>
      </c>
      <c r="L203" s="7">
        <v>0.2</v>
      </c>
      <c r="M203" t="str">
        <f t="shared" si="3"/>
        <v>medium risk</v>
      </c>
    </row>
    <row r="204" spans="1:13">
      <c r="A204" s="7" t="s">
        <v>355</v>
      </c>
      <c r="B204" s="9">
        <v>42009</v>
      </c>
      <c r="C204" s="7">
        <v>2015</v>
      </c>
      <c r="D204" s="7" t="s">
        <v>22</v>
      </c>
      <c r="E204" s="7" t="s">
        <v>23</v>
      </c>
      <c r="F204" s="7" t="s">
        <v>24</v>
      </c>
      <c r="G204" s="7">
        <v>220</v>
      </c>
      <c r="H204" s="7">
        <v>15</v>
      </c>
      <c r="I204" s="7" t="s">
        <v>25</v>
      </c>
      <c r="J204" s="7">
        <v>1</v>
      </c>
      <c r="K204" s="7">
        <v>0</v>
      </c>
      <c r="L204" s="7">
        <v>12.5</v>
      </c>
      <c r="M204" t="str">
        <f t="shared" si="3"/>
        <v>low risk</v>
      </c>
    </row>
    <row r="205" spans="1:13">
      <c r="A205" s="7" t="s">
        <v>356</v>
      </c>
      <c r="B205" s="9">
        <v>42190</v>
      </c>
      <c r="C205" s="7">
        <v>2015</v>
      </c>
      <c r="D205" s="7" t="s">
        <v>115</v>
      </c>
      <c r="E205" s="7" t="s">
        <v>47</v>
      </c>
      <c r="F205" s="7" t="s">
        <v>41</v>
      </c>
      <c r="G205" s="7">
        <v>1515</v>
      </c>
      <c r="H205" s="7">
        <v>30</v>
      </c>
      <c r="I205" s="7" t="s">
        <v>25</v>
      </c>
      <c r="J205" s="7">
        <v>1</v>
      </c>
      <c r="K205" s="7">
        <v>0</v>
      </c>
      <c r="L205" s="7">
        <v>1.7</v>
      </c>
      <c r="M205" t="str">
        <f t="shared" si="3"/>
        <v>medium risk</v>
      </c>
    </row>
    <row r="206" spans="1:13">
      <c r="A206" s="7" t="s">
        <v>357</v>
      </c>
      <c r="B206" s="9">
        <v>42161</v>
      </c>
      <c r="C206" s="7">
        <v>2015</v>
      </c>
      <c r="D206" s="7" t="s">
        <v>115</v>
      </c>
      <c r="E206" s="7" t="s">
        <v>83</v>
      </c>
      <c r="F206" s="7" t="s">
        <v>41</v>
      </c>
      <c r="G206" s="7">
        <v>1411</v>
      </c>
      <c r="H206" s="7">
        <v>21</v>
      </c>
      <c r="I206" s="7" t="s">
        <v>25</v>
      </c>
      <c r="J206" s="7">
        <v>1</v>
      </c>
      <c r="K206" s="7">
        <v>0</v>
      </c>
      <c r="L206" s="7">
        <v>3.3</v>
      </c>
      <c r="M206" t="str">
        <f t="shared" si="3"/>
        <v>medium risk</v>
      </c>
    </row>
    <row r="207" spans="1:13">
      <c r="A207" s="7" t="s">
        <v>358</v>
      </c>
      <c r="B207" s="9">
        <v>42344</v>
      </c>
      <c r="C207" s="7">
        <v>2015</v>
      </c>
      <c r="D207" s="7" t="s">
        <v>144</v>
      </c>
      <c r="E207" s="7" t="s">
        <v>76</v>
      </c>
      <c r="F207" s="7" t="s">
        <v>24</v>
      </c>
      <c r="G207" s="7">
        <v>130</v>
      </c>
      <c r="H207" s="7">
        <v>17</v>
      </c>
      <c r="I207" s="7" t="s">
        <v>35</v>
      </c>
      <c r="J207" s="7">
        <v>0</v>
      </c>
      <c r="K207" s="7">
        <v>1</v>
      </c>
      <c r="L207" s="7">
        <v>-13.6</v>
      </c>
      <c r="M207" t="str">
        <f t="shared" si="3"/>
        <v>low risk</v>
      </c>
    </row>
    <row r="208" spans="1:13">
      <c r="A208" s="7" t="s">
        <v>359</v>
      </c>
      <c r="B208" s="9" t="s">
        <v>360</v>
      </c>
      <c r="C208" s="7">
        <v>2015</v>
      </c>
      <c r="D208" s="7" t="s">
        <v>22</v>
      </c>
      <c r="E208" s="7" t="s">
        <v>23</v>
      </c>
      <c r="F208" s="7" t="s">
        <v>41</v>
      </c>
      <c r="G208" s="7">
        <v>942</v>
      </c>
      <c r="H208" s="7">
        <v>31</v>
      </c>
      <c r="I208" s="7" t="s">
        <v>35</v>
      </c>
      <c r="J208" s="7">
        <v>0</v>
      </c>
      <c r="K208" s="7">
        <v>1</v>
      </c>
      <c r="L208" s="7">
        <v>6.6</v>
      </c>
      <c r="M208" t="str">
        <f t="shared" si="3"/>
        <v>medium risk</v>
      </c>
    </row>
    <row r="209" spans="1:13">
      <c r="A209" s="7" t="s">
        <v>361</v>
      </c>
      <c r="B209" s="9" t="s">
        <v>360</v>
      </c>
      <c r="C209" s="7">
        <v>2015</v>
      </c>
      <c r="D209" s="7" t="s">
        <v>156</v>
      </c>
      <c r="E209" s="7" t="s">
        <v>38</v>
      </c>
      <c r="F209" s="7" t="s">
        <v>24</v>
      </c>
      <c r="G209" s="7">
        <v>290</v>
      </c>
      <c r="H209" s="7">
        <v>21</v>
      </c>
      <c r="I209" s="7" t="s">
        <v>25</v>
      </c>
      <c r="J209" s="7">
        <v>1</v>
      </c>
      <c r="K209" s="7">
        <v>0</v>
      </c>
      <c r="L209" s="7">
        <v>10.1</v>
      </c>
      <c r="M209" t="str">
        <f t="shared" si="3"/>
        <v>low risk</v>
      </c>
    </row>
    <row r="210" spans="1:13">
      <c r="A210" s="7" t="s">
        <v>362</v>
      </c>
      <c r="B210" s="9">
        <v>42101</v>
      </c>
      <c r="C210" s="7">
        <v>2015</v>
      </c>
      <c r="D210" s="7" t="s">
        <v>37</v>
      </c>
      <c r="E210" s="7" t="s">
        <v>29</v>
      </c>
      <c r="F210" s="7" t="s">
        <v>41</v>
      </c>
      <c r="G210" s="7">
        <v>1219</v>
      </c>
      <c r="H210" s="7">
        <v>33</v>
      </c>
      <c r="I210" s="7" t="s">
        <v>25</v>
      </c>
      <c r="J210" s="7">
        <v>1</v>
      </c>
      <c r="K210" s="7">
        <v>0</v>
      </c>
      <c r="L210" s="7">
        <v>2.4</v>
      </c>
      <c r="M210" t="str">
        <f t="shared" si="3"/>
        <v>medium risk</v>
      </c>
    </row>
    <row r="211" spans="1:13">
      <c r="A211" s="7" t="s">
        <v>363</v>
      </c>
      <c r="B211" s="9" t="s">
        <v>364</v>
      </c>
      <c r="C211" s="7">
        <v>2015</v>
      </c>
      <c r="D211" s="7" t="s">
        <v>115</v>
      </c>
      <c r="E211" s="7" t="s">
        <v>29</v>
      </c>
      <c r="F211" s="7" t="s">
        <v>41</v>
      </c>
      <c r="G211" s="7">
        <v>1378</v>
      </c>
      <c r="H211" s="7">
        <v>43</v>
      </c>
      <c r="I211" s="7" t="s">
        <v>25</v>
      </c>
      <c r="J211" s="7">
        <v>1</v>
      </c>
      <c r="K211" s="7">
        <v>0</v>
      </c>
      <c r="L211" s="7">
        <v>4.5999999999999996</v>
      </c>
      <c r="M211" t="str">
        <f t="shared" si="3"/>
        <v>medium risk</v>
      </c>
    </row>
    <row r="212" spans="1:13">
      <c r="A212" s="7" t="s">
        <v>365</v>
      </c>
      <c r="B212" s="9" t="s">
        <v>366</v>
      </c>
      <c r="C212" s="7">
        <v>2015</v>
      </c>
      <c r="D212" s="7" t="s">
        <v>96</v>
      </c>
      <c r="E212" s="7" t="s">
        <v>23</v>
      </c>
      <c r="F212" s="7" t="s">
        <v>41</v>
      </c>
      <c r="G212" s="7">
        <v>2639</v>
      </c>
      <c r="H212" s="7">
        <v>40</v>
      </c>
      <c r="I212" s="7" t="s">
        <v>35</v>
      </c>
      <c r="J212" s="7">
        <v>0</v>
      </c>
      <c r="K212" s="7">
        <v>1</v>
      </c>
      <c r="L212" s="7">
        <v>-26.3</v>
      </c>
      <c r="M212" t="str">
        <f t="shared" si="3"/>
        <v>high risk</v>
      </c>
    </row>
    <row r="213" spans="1:13">
      <c r="A213" s="7" t="s">
        <v>367</v>
      </c>
      <c r="B213" s="9" t="s">
        <v>368</v>
      </c>
      <c r="C213" s="7">
        <v>2015</v>
      </c>
      <c r="D213" s="7" t="s">
        <v>28</v>
      </c>
      <c r="E213" s="7" t="s">
        <v>63</v>
      </c>
      <c r="F213" s="7" t="s">
        <v>41</v>
      </c>
      <c r="G213" s="7">
        <v>408</v>
      </c>
      <c r="H213" s="7">
        <v>38</v>
      </c>
      <c r="I213" s="7" t="s">
        <v>35</v>
      </c>
      <c r="J213" s="7">
        <v>0</v>
      </c>
      <c r="K213" s="7">
        <v>1</v>
      </c>
      <c r="L213" s="7">
        <v>-13.3</v>
      </c>
      <c r="M213" t="str">
        <f t="shared" si="3"/>
        <v>low risk</v>
      </c>
    </row>
    <row r="214" spans="1:13">
      <c r="A214" s="7" t="s">
        <v>369</v>
      </c>
      <c r="B214" s="9" t="s">
        <v>368</v>
      </c>
      <c r="C214" s="7">
        <v>2015</v>
      </c>
      <c r="D214" s="7" t="s">
        <v>194</v>
      </c>
      <c r="E214" s="7" t="s">
        <v>38</v>
      </c>
      <c r="F214" s="7" t="s">
        <v>24</v>
      </c>
      <c r="G214" s="7">
        <v>170</v>
      </c>
      <c r="H214" s="7">
        <v>26</v>
      </c>
      <c r="I214" s="7" t="s">
        <v>25</v>
      </c>
      <c r="J214" s="7">
        <v>1</v>
      </c>
      <c r="K214" s="7">
        <v>0</v>
      </c>
      <c r="L214" s="7">
        <v>16.399999999999999</v>
      </c>
      <c r="M214" t="str">
        <f t="shared" si="3"/>
        <v>low risk</v>
      </c>
    </row>
    <row r="215" spans="1:13">
      <c r="A215" s="7" t="s">
        <v>370</v>
      </c>
      <c r="B215" s="9" t="s">
        <v>371</v>
      </c>
      <c r="C215" s="7">
        <v>2015</v>
      </c>
      <c r="D215" s="7" t="s">
        <v>22</v>
      </c>
      <c r="E215" s="7" t="s">
        <v>23</v>
      </c>
      <c r="F215" s="7" t="s">
        <v>24</v>
      </c>
      <c r="G215" s="7">
        <v>188</v>
      </c>
      <c r="H215" s="7">
        <v>13</v>
      </c>
      <c r="I215" s="7" t="s">
        <v>25</v>
      </c>
      <c r="J215" s="7">
        <v>1</v>
      </c>
      <c r="K215" s="7">
        <v>0</v>
      </c>
      <c r="L215" s="7">
        <v>8.4</v>
      </c>
      <c r="M215" t="str">
        <f t="shared" si="3"/>
        <v>low risk</v>
      </c>
    </row>
    <row r="216" spans="1:13">
      <c r="A216" s="7" t="s">
        <v>372</v>
      </c>
      <c r="B216" s="9">
        <v>42285</v>
      </c>
      <c r="C216" s="7">
        <v>2015</v>
      </c>
      <c r="D216" s="7" t="s">
        <v>28</v>
      </c>
      <c r="E216" s="7" t="s">
        <v>34</v>
      </c>
      <c r="F216" s="7" t="s">
        <v>41</v>
      </c>
      <c r="G216" s="7">
        <v>1377</v>
      </c>
      <c r="H216" s="7">
        <v>43</v>
      </c>
      <c r="I216" s="7" t="s">
        <v>35</v>
      </c>
      <c r="J216" s="7">
        <v>0</v>
      </c>
      <c r="K216" s="7">
        <v>1</v>
      </c>
      <c r="L216" s="7">
        <v>-16.7</v>
      </c>
      <c r="M216" t="str">
        <f t="shared" si="3"/>
        <v>medium risk</v>
      </c>
    </row>
    <row r="217" spans="1:13">
      <c r="A217" s="7" t="s">
        <v>373</v>
      </c>
      <c r="B217" s="9" t="s">
        <v>374</v>
      </c>
      <c r="C217" s="7">
        <v>2015</v>
      </c>
      <c r="D217" s="7" t="s">
        <v>46</v>
      </c>
      <c r="E217" s="7" t="s">
        <v>83</v>
      </c>
      <c r="F217" s="7" t="s">
        <v>41</v>
      </c>
      <c r="G217" s="7">
        <v>1402</v>
      </c>
      <c r="H217" s="7">
        <v>37</v>
      </c>
      <c r="I217" s="7" t="s">
        <v>35</v>
      </c>
      <c r="J217" s="7">
        <v>0</v>
      </c>
      <c r="K217" s="7">
        <v>1</v>
      </c>
      <c r="L217" s="7">
        <v>-15.9</v>
      </c>
      <c r="M217" t="str">
        <f t="shared" si="3"/>
        <v>medium risk</v>
      </c>
    </row>
    <row r="218" spans="1:13">
      <c r="A218" s="7" t="s">
        <v>375</v>
      </c>
      <c r="B218" s="9" t="s">
        <v>376</v>
      </c>
      <c r="C218" s="7">
        <v>2015</v>
      </c>
      <c r="D218" s="7" t="s">
        <v>107</v>
      </c>
      <c r="E218" s="7" t="s">
        <v>76</v>
      </c>
      <c r="F218" s="7" t="s">
        <v>24</v>
      </c>
      <c r="G218" s="7">
        <v>266</v>
      </c>
      <c r="H218" s="7">
        <v>9</v>
      </c>
      <c r="I218" s="7" t="s">
        <v>25</v>
      </c>
      <c r="J218" s="7">
        <v>1</v>
      </c>
      <c r="K218" s="7">
        <v>0</v>
      </c>
      <c r="L218" s="7">
        <v>11.3</v>
      </c>
      <c r="M218" t="str">
        <f t="shared" si="3"/>
        <v>low risk</v>
      </c>
    </row>
    <row r="219" spans="1:13">
      <c r="A219" s="7" t="s">
        <v>377</v>
      </c>
      <c r="B219" s="9" t="s">
        <v>378</v>
      </c>
      <c r="C219" s="7">
        <v>2015</v>
      </c>
      <c r="D219" s="7" t="s">
        <v>112</v>
      </c>
      <c r="E219" s="7" t="s">
        <v>34</v>
      </c>
      <c r="F219" s="7" t="s">
        <v>24</v>
      </c>
      <c r="G219" s="7">
        <v>370</v>
      </c>
      <c r="H219" s="7">
        <v>14</v>
      </c>
      <c r="I219" s="7" t="s">
        <v>35</v>
      </c>
      <c r="J219" s="7">
        <v>0</v>
      </c>
      <c r="K219" s="7">
        <v>1</v>
      </c>
      <c r="L219" s="7">
        <v>-31.8</v>
      </c>
      <c r="M219" t="str">
        <f t="shared" si="3"/>
        <v>low risk</v>
      </c>
    </row>
    <row r="220" spans="1:13">
      <c r="A220" s="7" t="s">
        <v>379</v>
      </c>
      <c r="B220" s="9" t="s">
        <v>380</v>
      </c>
      <c r="C220" s="7">
        <v>2015</v>
      </c>
      <c r="D220" s="7" t="s">
        <v>40</v>
      </c>
      <c r="E220" s="7" t="s">
        <v>29</v>
      </c>
      <c r="F220" s="7" t="s">
        <v>24</v>
      </c>
      <c r="G220" s="7">
        <v>334</v>
      </c>
      <c r="H220" s="7">
        <v>16</v>
      </c>
      <c r="I220" s="7" t="s">
        <v>25</v>
      </c>
      <c r="J220" s="7">
        <v>1</v>
      </c>
      <c r="K220" s="7">
        <v>0</v>
      </c>
      <c r="L220" s="7">
        <v>4.5999999999999996</v>
      </c>
      <c r="M220" t="str">
        <f t="shared" si="3"/>
        <v>low risk</v>
      </c>
    </row>
    <row r="221" spans="1:13">
      <c r="A221" s="7" t="s">
        <v>381</v>
      </c>
      <c r="B221" s="9" t="s">
        <v>382</v>
      </c>
      <c r="C221" s="7">
        <v>2015</v>
      </c>
      <c r="D221" s="7" t="s">
        <v>144</v>
      </c>
      <c r="E221" s="7" t="s">
        <v>47</v>
      </c>
      <c r="F221" s="7" t="s">
        <v>41</v>
      </c>
      <c r="G221" s="7">
        <v>1540</v>
      </c>
      <c r="H221" s="7">
        <v>40</v>
      </c>
      <c r="I221" s="7" t="s">
        <v>25</v>
      </c>
      <c r="J221" s="7">
        <v>1</v>
      </c>
      <c r="K221" s="7">
        <v>0</v>
      </c>
      <c r="L221" s="7">
        <v>10.4</v>
      </c>
      <c r="M221" t="str">
        <f t="shared" si="3"/>
        <v>medium risk</v>
      </c>
    </row>
    <row r="222" spans="1:13">
      <c r="A222" s="7" t="s">
        <v>383</v>
      </c>
      <c r="B222" s="9" t="s">
        <v>384</v>
      </c>
      <c r="C222" s="7">
        <v>2015</v>
      </c>
      <c r="D222" s="7" t="s">
        <v>68</v>
      </c>
      <c r="E222" s="7" t="s">
        <v>47</v>
      </c>
      <c r="F222" s="7" t="s">
        <v>41</v>
      </c>
      <c r="G222" s="7">
        <v>2265</v>
      </c>
      <c r="H222" s="7">
        <v>36</v>
      </c>
      <c r="I222" s="7" t="s">
        <v>25</v>
      </c>
      <c r="J222" s="7">
        <v>1</v>
      </c>
      <c r="K222" s="7">
        <v>0</v>
      </c>
      <c r="L222" s="7">
        <v>11.1</v>
      </c>
      <c r="M222" t="str">
        <f t="shared" si="3"/>
        <v>high risk</v>
      </c>
    </row>
    <row r="223" spans="1:13">
      <c r="A223" s="7" t="s">
        <v>385</v>
      </c>
      <c r="B223" s="9">
        <v>42046</v>
      </c>
      <c r="C223" s="7">
        <v>2015</v>
      </c>
      <c r="D223" s="7" t="s">
        <v>37</v>
      </c>
      <c r="E223" s="7" t="s">
        <v>34</v>
      </c>
      <c r="F223" s="7" t="s">
        <v>24</v>
      </c>
      <c r="G223" s="7">
        <v>98</v>
      </c>
      <c r="H223" s="7">
        <v>13</v>
      </c>
      <c r="I223" s="7" t="s">
        <v>25</v>
      </c>
      <c r="J223" s="7">
        <v>1</v>
      </c>
      <c r="K223" s="7">
        <v>0</v>
      </c>
      <c r="L223" s="7">
        <v>9.6</v>
      </c>
      <c r="M223" t="str">
        <f t="shared" si="3"/>
        <v>low risk</v>
      </c>
    </row>
    <row r="224" spans="1:13">
      <c r="A224" s="7" t="s">
        <v>386</v>
      </c>
      <c r="B224" s="9">
        <v>42319</v>
      </c>
      <c r="C224" s="7">
        <v>2015</v>
      </c>
      <c r="D224" s="7" t="s">
        <v>101</v>
      </c>
      <c r="E224" s="7" t="s">
        <v>38</v>
      </c>
      <c r="F224" s="7" t="s">
        <v>24</v>
      </c>
      <c r="G224" s="7">
        <v>377</v>
      </c>
      <c r="H224" s="7">
        <v>17</v>
      </c>
      <c r="I224" s="7" t="s">
        <v>30</v>
      </c>
      <c r="J224" s="7">
        <v>0</v>
      </c>
      <c r="K224" s="7">
        <v>0</v>
      </c>
      <c r="L224" s="7">
        <v>0.5</v>
      </c>
      <c r="M224" t="str">
        <f t="shared" si="3"/>
        <v>low risk</v>
      </c>
    </row>
    <row r="225" spans="1:13">
      <c r="A225" s="7" t="s">
        <v>387</v>
      </c>
      <c r="B225" s="9" t="s">
        <v>388</v>
      </c>
      <c r="C225" s="7">
        <v>2015</v>
      </c>
      <c r="D225" s="7" t="s">
        <v>51</v>
      </c>
      <c r="E225" s="7" t="s">
        <v>34</v>
      </c>
      <c r="F225" s="7" t="s">
        <v>24</v>
      </c>
      <c r="G225" s="7">
        <v>529</v>
      </c>
      <c r="H225" s="7">
        <v>26</v>
      </c>
      <c r="I225" s="7" t="s">
        <v>25</v>
      </c>
      <c r="J225" s="7">
        <v>1</v>
      </c>
      <c r="K225" s="7">
        <v>0</v>
      </c>
      <c r="L225" s="7">
        <v>5.6</v>
      </c>
      <c r="M225" t="str">
        <f t="shared" si="3"/>
        <v>medium risk</v>
      </c>
    </row>
    <row r="226" spans="1:13">
      <c r="A226" s="7" t="s">
        <v>389</v>
      </c>
      <c r="B226" s="9" t="s">
        <v>390</v>
      </c>
      <c r="C226" s="7">
        <v>2015</v>
      </c>
      <c r="D226" s="7" t="s">
        <v>194</v>
      </c>
      <c r="E226" s="7" t="s">
        <v>34</v>
      </c>
      <c r="F226" s="7" t="s">
        <v>41</v>
      </c>
      <c r="G226" s="7">
        <v>979</v>
      </c>
      <c r="H226" s="7">
        <v>29</v>
      </c>
      <c r="I226" s="7" t="s">
        <v>35</v>
      </c>
      <c r="J226" s="7">
        <v>0</v>
      </c>
      <c r="K226" s="7">
        <v>1</v>
      </c>
      <c r="L226" s="7">
        <v>-20.7</v>
      </c>
      <c r="M226" t="str">
        <f t="shared" si="3"/>
        <v>medium risk</v>
      </c>
    </row>
    <row r="227" spans="1:13">
      <c r="A227" s="7" t="s">
        <v>391</v>
      </c>
      <c r="B227" s="9">
        <v>42228</v>
      </c>
      <c r="C227" s="7">
        <v>2015</v>
      </c>
      <c r="D227" s="7" t="s">
        <v>174</v>
      </c>
      <c r="E227" s="7" t="s">
        <v>34</v>
      </c>
      <c r="F227" s="7" t="s">
        <v>41</v>
      </c>
      <c r="G227" s="7">
        <v>976</v>
      </c>
      <c r="H227" s="7">
        <v>38</v>
      </c>
      <c r="I227" s="7" t="s">
        <v>30</v>
      </c>
      <c r="J227" s="7">
        <v>0</v>
      </c>
      <c r="K227" s="7">
        <v>0</v>
      </c>
      <c r="L227" s="7">
        <v>-6.4</v>
      </c>
      <c r="M227" t="str">
        <f t="shared" si="3"/>
        <v>medium risk</v>
      </c>
    </row>
    <row r="228" spans="1:13">
      <c r="A228" s="7" t="s">
        <v>392</v>
      </c>
      <c r="B228" s="9" t="s">
        <v>393</v>
      </c>
      <c r="C228" s="7">
        <v>2015</v>
      </c>
      <c r="D228" s="7" t="s">
        <v>112</v>
      </c>
      <c r="E228" s="7" t="s">
        <v>23</v>
      </c>
      <c r="F228" s="7" t="s">
        <v>41</v>
      </c>
      <c r="G228" s="7">
        <v>897</v>
      </c>
      <c r="H228" s="7">
        <v>30</v>
      </c>
      <c r="I228" s="7" t="s">
        <v>35</v>
      </c>
      <c r="J228" s="7">
        <v>0</v>
      </c>
      <c r="K228" s="7">
        <v>1</v>
      </c>
      <c r="L228" s="7">
        <v>-9.1</v>
      </c>
      <c r="M228" t="str">
        <f t="shared" si="3"/>
        <v>medium risk</v>
      </c>
    </row>
    <row r="229" spans="1:13">
      <c r="A229" s="7" t="s">
        <v>394</v>
      </c>
      <c r="B229" s="9">
        <v>42370</v>
      </c>
      <c r="C229" s="7">
        <v>2016</v>
      </c>
      <c r="D229" s="7" t="s">
        <v>22</v>
      </c>
      <c r="E229" s="7" t="s">
        <v>23</v>
      </c>
      <c r="F229" s="7" t="s">
        <v>24</v>
      </c>
      <c r="G229" s="7">
        <v>168</v>
      </c>
      <c r="H229" s="7">
        <v>13</v>
      </c>
      <c r="I229" s="7" t="s">
        <v>25</v>
      </c>
      <c r="J229" s="7">
        <v>1</v>
      </c>
      <c r="K229" s="7">
        <v>0</v>
      </c>
      <c r="L229" s="7">
        <v>4</v>
      </c>
      <c r="M229" t="str">
        <f t="shared" si="3"/>
        <v>low risk</v>
      </c>
    </row>
    <row r="230" spans="1:13">
      <c r="A230" s="7" t="s">
        <v>395</v>
      </c>
      <c r="B230" s="9" t="s">
        <v>396</v>
      </c>
      <c r="C230" s="7">
        <v>2016</v>
      </c>
      <c r="D230" s="7" t="s">
        <v>46</v>
      </c>
      <c r="E230" s="7" t="s">
        <v>47</v>
      </c>
      <c r="F230" s="7" t="s">
        <v>24</v>
      </c>
      <c r="G230" s="7">
        <v>146</v>
      </c>
      <c r="H230" s="7">
        <v>15</v>
      </c>
      <c r="I230" s="7" t="s">
        <v>25</v>
      </c>
      <c r="J230" s="7">
        <v>1</v>
      </c>
      <c r="K230" s="7">
        <v>0</v>
      </c>
      <c r="L230" s="7">
        <v>16.5</v>
      </c>
      <c r="M230" t="str">
        <f t="shared" si="3"/>
        <v>low risk</v>
      </c>
    </row>
    <row r="231" spans="1:13">
      <c r="A231" s="7" t="s">
        <v>397</v>
      </c>
      <c r="B231" s="9" t="s">
        <v>398</v>
      </c>
      <c r="C231" s="7">
        <v>2016</v>
      </c>
      <c r="D231" s="7" t="s">
        <v>115</v>
      </c>
      <c r="E231" s="7" t="s">
        <v>34</v>
      </c>
      <c r="F231" s="7" t="s">
        <v>41</v>
      </c>
      <c r="G231" s="7">
        <v>571</v>
      </c>
      <c r="H231" s="7">
        <v>45</v>
      </c>
      <c r="I231" s="7" t="s">
        <v>35</v>
      </c>
      <c r="J231" s="7">
        <v>0</v>
      </c>
      <c r="K231" s="7">
        <v>1</v>
      </c>
      <c r="L231" s="7">
        <v>-33.5</v>
      </c>
      <c r="M231" t="str">
        <f t="shared" si="3"/>
        <v>medium risk</v>
      </c>
    </row>
    <row r="232" spans="1:13">
      <c r="A232" s="7" t="s">
        <v>399</v>
      </c>
      <c r="B232" s="9" t="s">
        <v>400</v>
      </c>
      <c r="C232" s="7">
        <v>2016</v>
      </c>
      <c r="D232" s="7" t="s">
        <v>112</v>
      </c>
      <c r="E232" s="7" t="s">
        <v>76</v>
      </c>
      <c r="F232" s="7" t="s">
        <v>41</v>
      </c>
      <c r="G232" s="7">
        <v>1139</v>
      </c>
      <c r="H232" s="7">
        <v>50</v>
      </c>
      <c r="I232" s="7" t="s">
        <v>35</v>
      </c>
      <c r="J232" s="7">
        <v>0</v>
      </c>
      <c r="K232" s="7">
        <v>1</v>
      </c>
      <c r="L232" s="7">
        <v>-3.5</v>
      </c>
      <c r="M232" t="str">
        <f t="shared" si="3"/>
        <v>medium risk</v>
      </c>
    </row>
    <row r="233" spans="1:13">
      <c r="A233" s="7" t="s">
        <v>401</v>
      </c>
      <c r="B233" s="9" t="s">
        <v>402</v>
      </c>
      <c r="C233" s="7">
        <v>2016</v>
      </c>
      <c r="D233" s="7" t="s">
        <v>28</v>
      </c>
      <c r="E233" s="7" t="s">
        <v>34</v>
      </c>
      <c r="F233" s="7" t="s">
        <v>24</v>
      </c>
      <c r="G233" s="7">
        <v>325</v>
      </c>
      <c r="H233" s="7">
        <v>23</v>
      </c>
      <c r="I233" s="7" t="s">
        <v>25</v>
      </c>
      <c r="J233" s="7">
        <v>1</v>
      </c>
      <c r="K233" s="7">
        <v>0</v>
      </c>
      <c r="L233" s="7">
        <v>-4.2</v>
      </c>
      <c r="M233" t="str">
        <f t="shared" si="3"/>
        <v>low risk</v>
      </c>
    </row>
    <row r="234" spans="1:13">
      <c r="A234" s="7" t="s">
        <v>403</v>
      </c>
      <c r="B234" s="9">
        <v>42524</v>
      </c>
      <c r="C234" s="7">
        <v>2016</v>
      </c>
      <c r="D234" s="7" t="s">
        <v>58</v>
      </c>
      <c r="E234" s="7" t="s">
        <v>76</v>
      </c>
      <c r="F234" s="7" t="s">
        <v>24</v>
      </c>
      <c r="G234" s="7">
        <v>228</v>
      </c>
      <c r="H234" s="7">
        <v>22</v>
      </c>
      <c r="I234" s="7" t="s">
        <v>25</v>
      </c>
      <c r="J234" s="7">
        <v>1</v>
      </c>
      <c r="K234" s="7">
        <v>0</v>
      </c>
      <c r="L234" s="7">
        <v>12.8</v>
      </c>
      <c r="M234" t="str">
        <f t="shared" si="3"/>
        <v>low risk</v>
      </c>
    </row>
    <row r="235" spans="1:13">
      <c r="A235" s="7" t="s">
        <v>404</v>
      </c>
      <c r="B235" s="9">
        <v>42585</v>
      </c>
      <c r="C235" s="7">
        <v>2016</v>
      </c>
      <c r="D235" s="7" t="s">
        <v>115</v>
      </c>
      <c r="E235" s="7" t="s">
        <v>54</v>
      </c>
      <c r="F235" s="7" t="s">
        <v>24</v>
      </c>
      <c r="G235" s="7">
        <v>184</v>
      </c>
      <c r="H235" s="7">
        <v>15</v>
      </c>
      <c r="I235" s="7" t="s">
        <v>35</v>
      </c>
      <c r="J235" s="7">
        <v>0</v>
      </c>
      <c r="K235" s="7">
        <v>1</v>
      </c>
      <c r="L235" s="7">
        <v>-8.3000000000000007</v>
      </c>
      <c r="M235" t="str">
        <f t="shared" si="3"/>
        <v>low risk</v>
      </c>
    </row>
    <row r="236" spans="1:13">
      <c r="A236" s="7" t="s">
        <v>405</v>
      </c>
      <c r="B236" s="9">
        <v>42464</v>
      </c>
      <c r="C236" s="7">
        <v>2016</v>
      </c>
      <c r="D236" s="7" t="s">
        <v>58</v>
      </c>
      <c r="E236" s="7" t="s">
        <v>23</v>
      </c>
      <c r="F236" s="7" t="s">
        <v>24</v>
      </c>
      <c r="G236" s="7">
        <v>254</v>
      </c>
      <c r="H236" s="7">
        <v>15</v>
      </c>
      <c r="I236" s="7" t="s">
        <v>35</v>
      </c>
      <c r="J236" s="7">
        <v>0</v>
      </c>
      <c r="K236" s="7">
        <v>1</v>
      </c>
      <c r="L236" s="7">
        <v>-22.9</v>
      </c>
      <c r="M236" t="str">
        <f t="shared" si="3"/>
        <v>low risk</v>
      </c>
    </row>
    <row r="237" spans="1:13">
      <c r="A237" s="7" t="s">
        <v>406</v>
      </c>
      <c r="B237" s="9">
        <v>42525</v>
      </c>
      <c r="C237" s="7">
        <v>2016</v>
      </c>
      <c r="D237" s="7" t="s">
        <v>46</v>
      </c>
      <c r="E237" s="7" t="s">
        <v>34</v>
      </c>
      <c r="F237" s="7" t="s">
        <v>41</v>
      </c>
      <c r="G237" s="7">
        <v>359</v>
      </c>
      <c r="H237" s="7">
        <v>43</v>
      </c>
      <c r="I237" s="7" t="s">
        <v>30</v>
      </c>
      <c r="J237" s="7">
        <v>0</v>
      </c>
      <c r="K237" s="7">
        <v>0</v>
      </c>
      <c r="L237" s="7">
        <v>-0.8</v>
      </c>
      <c r="M237" t="str">
        <f t="shared" si="3"/>
        <v>low risk</v>
      </c>
    </row>
    <row r="238" spans="1:13">
      <c r="A238" s="7" t="s">
        <v>407</v>
      </c>
      <c r="B238" s="9">
        <v>42678</v>
      </c>
      <c r="C238" s="7">
        <v>2016</v>
      </c>
      <c r="D238" s="7" t="s">
        <v>51</v>
      </c>
      <c r="E238" s="7" t="s">
        <v>29</v>
      </c>
      <c r="F238" s="7" t="s">
        <v>24</v>
      </c>
      <c r="G238" s="7">
        <v>149</v>
      </c>
      <c r="H238" s="7">
        <v>6</v>
      </c>
      <c r="I238" s="7" t="s">
        <v>25</v>
      </c>
      <c r="J238" s="7">
        <v>1</v>
      </c>
      <c r="K238" s="7">
        <v>0</v>
      </c>
      <c r="L238" s="7">
        <v>11.8</v>
      </c>
      <c r="M238" t="str">
        <f t="shared" si="3"/>
        <v>low risk</v>
      </c>
    </row>
    <row r="239" spans="1:13">
      <c r="A239" s="7" t="s">
        <v>408</v>
      </c>
      <c r="B239" s="9">
        <v>42587</v>
      </c>
      <c r="C239" s="7">
        <v>2016</v>
      </c>
      <c r="D239" s="7" t="s">
        <v>115</v>
      </c>
      <c r="E239" s="7" t="s">
        <v>34</v>
      </c>
      <c r="F239" s="7" t="s">
        <v>24</v>
      </c>
      <c r="G239" s="7">
        <v>208</v>
      </c>
      <c r="H239" s="7">
        <v>14</v>
      </c>
      <c r="I239" s="7" t="s">
        <v>30</v>
      </c>
      <c r="J239" s="7">
        <v>0</v>
      </c>
      <c r="K239" s="7">
        <v>0</v>
      </c>
      <c r="L239" s="7">
        <v>3.9</v>
      </c>
      <c r="M239" t="str">
        <f t="shared" si="3"/>
        <v>low risk</v>
      </c>
    </row>
    <row r="240" spans="1:13">
      <c r="A240" s="7" t="s">
        <v>409</v>
      </c>
      <c r="B240" s="9" t="s">
        <v>410</v>
      </c>
      <c r="C240" s="7">
        <v>2016</v>
      </c>
      <c r="D240" s="7" t="s">
        <v>174</v>
      </c>
      <c r="E240" s="7" t="s">
        <v>47</v>
      </c>
      <c r="F240" s="7" t="s">
        <v>24</v>
      </c>
      <c r="G240" s="7">
        <v>994</v>
      </c>
      <c r="H240" s="7">
        <v>16</v>
      </c>
      <c r="I240" s="7" t="s">
        <v>25</v>
      </c>
      <c r="J240" s="7">
        <v>1</v>
      </c>
      <c r="K240" s="7">
        <v>0</v>
      </c>
      <c r="L240" s="7">
        <v>3.4</v>
      </c>
      <c r="M240" t="str">
        <f t="shared" si="3"/>
        <v>medium risk</v>
      </c>
    </row>
    <row r="241" spans="1:13">
      <c r="A241" s="7" t="s">
        <v>411</v>
      </c>
      <c r="B241" s="9" t="s">
        <v>412</v>
      </c>
      <c r="C241" s="7">
        <v>2016</v>
      </c>
      <c r="D241" s="7" t="s">
        <v>28</v>
      </c>
      <c r="E241" s="7" t="s">
        <v>63</v>
      </c>
      <c r="F241" s="7" t="s">
        <v>41</v>
      </c>
      <c r="G241" s="7">
        <v>513</v>
      </c>
      <c r="H241" s="7">
        <v>37</v>
      </c>
      <c r="I241" s="7" t="s">
        <v>30</v>
      </c>
      <c r="J241" s="7">
        <v>0</v>
      </c>
      <c r="K241" s="7">
        <v>0</v>
      </c>
      <c r="L241" s="7">
        <v>-4.2</v>
      </c>
      <c r="M241" t="str">
        <f t="shared" si="3"/>
        <v>medium risk</v>
      </c>
    </row>
    <row r="242" spans="1:13">
      <c r="A242" s="7" t="s">
        <v>413</v>
      </c>
      <c r="B242" s="9" t="s">
        <v>414</v>
      </c>
      <c r="C242" s="7">
        <v>2016</v>
      </c>
      <c r="D242" s="7" t="s">
        <v>101</v>
      </c>
      <c r="E242" s="7" t="s">
        <v>23</v>
      </c>
      <c r="F242" s="7" t="s">
        <v>41</v>
      </c>
      <c r="G242" s="7">
        <v>1101</v>
      </c>
      <c r="H242" s="7">
        <v>21</v>
      </c>
      <c r="I242" s="7" t="s">
        <v>35</v>
      </c>
      <c r="J242" s="7">
        <v>0</v>
      </c>
      <c r="K242" s="7">
        <v>1</v>
      </c>
      <c r="L242" s="7">
        <v>-3.7</v>
      </c>
      <c r="M242" t="str">
        <f t="shared" si="3"/>
        <v>medium risk</v>
      </c>
    </row>
    <row r="243" spans="1:13">
      <c r="A243" s="7" t="s">
        <v>415</v>
      </c>
      <c r="B243" s="9" t="s">
        <v>416</v>
      </c>
      <c r="C243" s="7">
        <v>2016</v>
      </c>
      <c r="D243" s="7" t="s">
        <v>174</v>
      </c>
      <c r="E243" s="7" t="s">
        <v>34</v>
      </c>
      <c r="F243" s="7" t="s">
        <v>41</v>
      </c>
      <c r="G243" s="7">
        <v>2851</v>
      </c>
      <c r="H243" s="7">
        <v>37</v>
      </c>
      <c r="I243" s="7" t="s">
        <v>30</v>
      </c>
      <c r="J243" s="7">
        <v>0</v>
      </c>
      <c r="K243" s="7">
        <v>0</v>
      </c>
      <c r="L243" s="7">
        <v>-8.6</v>
      </c>
      <c r="M243" t="str">
        <f t="shared" si="3"/>
        <v>high risk</v>
      </c>
    </row>
    <row r="244" spans="1:13">
      <c r="A244" s="7" t="s">
        <v>417</v>
      </c>
      <c r="B244" s="9" t="s">
        <v>418</v>
      </c>
      <c r="C244" s="7">
        <v>2016</v>
      </c>
      <c r="D244" s="7" t="s">
        <v>174</v>
      </c>
      <c r="E244" s="7" t="s">
        <v>76</v>
      </c>
      <c r="F244" s="7" t="s">
        <v>41</v>
      </c>
      <c r="G244" s="7">
        <v>522</v>
      </c>
      <c r="H244" s="7">
        <v>35</v>
      </c>
      <c r="I244" s="7" t="s">
        <v>25</v>
      </c>
      <c r="J244" s="7">
        <v>1</v>
      </c>
      <c r="K244" s="7">
        <v>0</v>
      </c>
      <c r="L244" s="7">
        <v>7.5</v>
      </c>
      <c r="M244" t="str">
        <f t="shared" si="3"/>
        <v>medium risk</v>
      </c>
    </row>
    <row r="245" spans="1:13">
      <c r="A245" s="7" t="s">
        <v>419</v>
      </c>
      <c r="B245" s="9" t="s">
        <v>418</v>
      </c>
      <c r="C245" s="7">
        <v>2016</v>
      </c>
      <c r="D245" s="7" t="s">
        <v>28</v>
      </c>
      <c r="E245" s="7" t="s">
        <v>34</v>
      </c>
      <c r="F245" s="7" t="s">
        <v>41</v>
      </c>
      <c r="G245" s="7">
        <v>1374</v>
      </c>
      <c r="H245" s="7">
        <v>32</v>
      </c>
      <c r="I245" s="7" t="s">
        <v>35</v>
      </c>
      <c r="J245" s="7">
        <v>0</v>
      </c>
      <c r="K245" s="7">
        <v>1</v>
      </c>
      <c r="L245" s="7">
        <v>-13.1</v>
      </c>
      <c r="M245" t="str">
        <f t="shared" si="3"/>
        <v>medium risk</v>
      </c>
    </row>
    <row r="246" spans="1:13">
      <c r="A246" s="7" t="s">
        <v>420</v>
      </c>
      <c r="B246" s="9">
        <v>42527</v>
      </c>
      <c r="C246" s="7">
        <v>2016</v>
      </c>
      <c r="D246" s="7" t="s">
        <v>40</v>
      </c>
      <c r="E246" s="7" t="s">
        <v>83</v>
      </c>
      <c r="F246" s="7" t="s">
        <v>24</v>
      </c>
      <c r="G246" s="7">
        <v>127</v>
      </c>
      <c r="H246" s="7">
        <v>16</v>
      </c>
      <c r="I246" s="7" t="s">
        <v>35</v>
      </c>
      <c r="J246" s="7">
        <v>0</v>
      </c>
      <c r="K246" s="7">
        <v>1</v>
      </c>
      <c r="L246" s="7">
        <v>-11.7</v>
      </c>
      <c r="M246" t="str">
        <f t="shared" si="3"/>
        <v>low risk</v>
      </c>
    </row>
    <row r="247" spans="1:13">
      <c r="A247" s="7" t="s">
        <v>421</v>
      </c>
      <c r="B247" s="9">
        <v>42467</v>
      </c>
      <c r="C247" s="7">
        <v>2016</v>
      </c>
      <c r="D247" s="7" t="s">
        <v>66</v>
      </c>
      <c r="E247" s="7" t="s">
        <v>47</v>
      </c>
      <c r="F247" s="7" t="s">
        <v>41</v>
      </c>
      <c r="G247" s="7">
        <v>1473</v>
      </c>
      <c r="H247" s="7">
        <v>34</v>
      </c>
      <c r="I247" s="7" t="s">
        <v>35</v>
      </c>
      <c r="J247" s="7">
        <v>0</v>
      </c>
      <c r="K247" s="7">
        <v>1</v>
      </c>
      <c r="L247" s="7">
        <v>-29.5</v>
      </c>
      <c r="M247" t="str">
        <f t="shared" si="3"/>
        <v>medium risk</v>
      </c>
    </row>
    <row r="248" spans="1:13">
      <c r="A248" s="7" t="s">
        <v>422</v>
      </c>
      <c r="B248" s="9">
        <v>42681</v>
      </c>
      <c r="C248" s="7">
        <v>2016</v>
      </c>
      <c r="D248" s="7" t="s">
        <v>33</v>
      </c>
      <c r="E248" s="7" t="s">
        <v>38</v>
      </c>
      <c r="F248" s="7" t="s">
        <v>24</v>
      </c>
      <c r="G248" s="7">
        <v>342</v>
      </c>
      <c r="H248" s="7">
        <v>22</v>
      </c>
      <c r="I248" s="7" t="s">
        <v>25</v>
      </c>
      <c r="J248" s="7">
        <v>1</v>
      </c>
      <c r="K248" s="7">
        <v>0</v>
      </c>
      <c r="L248" s="7">
        <v>8.6999999999999993</v>
      </c>
      <c r="M248" t="str">
        <f t="shared" si="3"/>
        <v>low risk</v>
      </c>
    </row>
    <row r="249" spans="1:13">
      <c r="A249" s="7" t="s">
        <v>423</v>
      </c>
      <c r="B249" s="9">
        <v>42590</v>
      </c>
      <c r="C249" s="7">
        <v>2016</v>
      </c>
      <c r="D249" s="7" t="s">
        <v>66</v>
      </c>
      <c r="E249" s="7" t="s">
        <v>34</v>
      </c>
      <c r="F249" s="7" t="s">
        <v>24</v>
      </c>
      <c r="G249" s="7">
        <v>308</v>
      </c>
      <c r="H249" s="7">
        <v>26</v>
      </c>
      <c r="I249" s="7" t="s">
        <v>35</v>
      </c>
      <c r="J249" s="7">
        <v>0</v>
      </c>
      <c r="K249" s="7">
        <v>1</v>
      </c>
      <c r="L249" s="7">
        <v>-19.399999999999999</v>
      </c>
      <c r="M249" t="str">
        <f t="shared" si="3"/>
        <v>low risk</v>
      </c>
    </row>
    <row r="250" spans="1:13">
      <c r="A250" s="7" t="s">
        <v>424</v>
      </c>
      <c r="B250" s="9" t="s">
        <v>425</v>
      </c>
      <c r="C250" s="7">
        <v>2016</v>
      </c>
      <c r="D250" s="7" t="s">
        <v>40</v>
      </c>
      <c r="E250" s="7" t="s">
        <v>78</v>
      </c>
      <c r="F250" s="7" t="s">
        <v>24</v>
      </c>
      <c r="G250" s="7">
        <v>170</v>
      </c>
      <c r="H250" s="7">
        <v>11</v>
      </c>
      <c r="I250" s="7" t="s">
        <v>35</v>
      </c>
      <c r="J250" s="7">
        <v>0</v>
      </c>
      <c r="K250" s="7">
        <v>1</v>
      </c>
      <c r="L250" s="7">
        <v>-17</v>
      </c>
      <c r="M250" t="str">
        <f t="shared" si="3"/>
        <v>low risk</v>
      </c>
    </row>
    <row r="251" spans="1:13">
      <c r="A251" s="7" t="s">
        <v>426</v>
      </c>
      <c r="B251" s="9" t="s">
        <v>427</v>
      </c>
      <c r="C251" s="7">
        <v>2016</v>
      </c>
      <c r="D251" s="7" t="s">
        <v>58</v>
      </c>
      <c r="E251" s="7" t="s">
        <v>34</v>
      </c>
      <c r="F251" s="7" t="s">
        <v>24</v>
      </c>
      <c r="G251" s="7">
        <v>197</v>
      </c>
      <c r="H251" s="7">
        <v>21</v>
      </c>
      <c r="I251" s="7" t="s">
        <v>25</v>
      </c>
      <c r="J251" s="7">
        <v>1</v>
      </c>
      <c r="K251" s="7">
        <v>0</v>
      </c>
      <c r="L251" s="7">
        <v>3.7</v>
      </c>
      <c r="M251" t="str">
        <f t="shared" si="3"/>
        <v>low risk</v>
      </c>
    </row>
    <row r="252" spans="1:13">
      <c r="A252" s="7" t="s">
        <v>428</v>
      </c>
      <c r="B252" s="9" t="s">
        <v>429</v>
      </c>
      <c r="C252" s="7">
        <v>2016</v>
      </c>
      <c r="D252" s="7" t="s">
        <v>144</v>
      </c>
      <c r="E252" s="7" t="s">
        <v>34</v>
      </c>
      <c r="F252" s="7" t="s">
        <v>24</v>
      </c>
      <c r="G252" s="7">
        <v>259</v>
      </c>
      <c r="H252" s="7">
        <v>20</v>
      </c>
      <c r="I252" s="7" t="s">
        <v>25</v>
      </c>
      <c r="J252" s="7">
        <v>1</v>
      </c>
      <c r="K252" s="7">
        <v>0</v>
      </c>
      <c r="L252" s="7">
        <v>4</v>
      </c>
      <c r="M252" t="str">
        <f t="shared" si="3"/>
        <v>low risk</v>
      </c>
    </row>
    <row r="253" spans="1:13">
      <c r="A253" s="7" t="s">
        <v>430</v>
      </c>
      <c r="B253" s="9">
        <v>42531</v>
      </c>
      <c r="C253" s="7">
        <v>2016</v>
      </c>
      <c r="D253" s="7" t="s">
        <v>68</v>
      </c>
      <c r="E253" s="7" t="s">
        <v>34</v>
      </c>
      <c r="F253" s="7" t="s">
        <v>24</v>
      </c>
      <c r="G253" s="7">
        <v>84</v>
      </c>
      <c r="H253" s="7">
        <v>18</v>
      </c>
      <c r="I253" s="7" t="s">
        <v>35</v>
      </c>
      <c r="J253" s="7">
        <v>0</v>
      </c>
      <c r="K253" s="7">
        <v>1</v>
      </c>
      <c r="L253" s="7">
        <v>-16</v>
      </c>
      <c r="M253" t="str">
        <f t="shared" si="3"/>
        <v>low risk</v>
      </c>
    </row>
    <row r="254" spans="1:13">
      <c r="A254" s="7" t="s">
        <v>431</v>
      </c>
      <c r="B254" s="9">
        <v>42714</v>
      </c>
      <c r="C254" s="7">
        <v>2016</v>
      </c>
      <c r="D254" s="7" t="s">
        <v>46</v>
      </c>
      <c r="E254" s="7" t="s">
        <v>63</v>
      </c>
      <c r="F254" s="7" t="s">
        <v>41</v>
      </c>
      <c r="G254" s="7">
        <v>777</v>
      </c>
      <c r="H254" s="7">
        <v>41</v>
      </c>
      <c r="I254" s="7" t="s">
        <v>25</v>
      </c>
      <c r="J254" s="7">
        <v>1</v>
      </c>
      <c r="K254" s="7">
        <v>0</v>
      </c>
      <c r="L254" s="7">
        <v>-3.9</v>
      </c>
      <c r="M254" t="str">
        <f t="shared" si="3"/>
        <v>medium risk</v>
      </c>
    </row>
    <row r="255" spans="1:13">
      <c r="A255" s="7" t="s">
        <v>432</v>
      </c>
      <c r="B255" s="9" t="s">
        <v>433</v>
      </c>
      <c r="C255" s="7">
        <v>2016</v>
      </c>
      <c r="D255" s="7" t="s">
        <v>174</v>
      </c>
      <c r="E255" s="7" t="s">
        <v>34</v>
      </c>
      <c r="F255" s="7" t="s">
        <v>41</v>
      </c>
      <c r="G255" s="7">
        <v>1458</v>
      </c>
      <c r="H255" s="7">
        <v>32</v>
      </c>
      <c r="I255" s="7" t="s">
        <v>35</v>
      </c>
      <c r="J255" s="7">
        <v>0</v>
      </c>
      <c r="K255" s="7">
        <v>1</v>
      </c>
      <c r="L255" s="7">
        <v>-10.7</v>
      </c>
      <c r="M255" t="str">
        <f t="shared" si="3"/>
        <v>medium risk</v>
      </c>
    </row>
    <row r="256" spans="1:13">
      <c r="A256" s="7" t="s">
        <v>434</v>
      </c>
      <c r="B256" s="9" t="s">
        <v>435</v>
      </c>
      <c r="C256" s="7">
        <v>2016</v>
      </c>
      <c r="D256" s="7" t="s">
        <v>44</v>
      </c>
      <c r="E256" s="7" t="s">
        <v>34</v>
      </c>
      <c r="F256" s="7" t="s">
        <v>41</v>
      </c>
      <c r="G256" s="7">
        <v>297</v>
      </c>
      <c r="H256" s="7">
        <v>32</v>
      </c>
      <c r="I256" s="7" t="s">
        <v>35</v>
      </c>
      <c r="J256" s="7">
        <v>0</v>
      </c>
      <c r="K256" s="7">
        <v>1</v>
      </c>
      <c r="L256" s="7">
        <v>-5.6</v>
      </c>
      <c r="M256" t="str">
        <f t="shared" si="3"/>
        <v>low risk</v>
      </c>
    </row>
    <row r="257" spans="1:13">
      <c r="A257" s="7" t="s">
        <v>436</v>
      </c>
      <c r="B257" s="9" t="s">
        <v>437</v>
      </c>
      <c r="C257" s="7">
        <v>2016</v>
      </c>
      <c r="D257" s="7" t="s">
        <v>101</v>
      </c>
      <c r="E257" s="7" t="s">
        <v>76</v>
      </c>
      <c r="F257" s="7" t="s">
        <v>24</v>
      </c>
      <c r="G257" s="7">
        <v>510</v>
      </c>
      <c r="H257" s="7">
        <v>14</v>
      </c>
      <c r="I257" s="7" t="s">
        <v>25</v>
      </c>
      <c r="J257" s="7">
        <v>1</v>
      </c>
      <c r="K257" s="7">
        <v>0</v>
      </c>
      <c r="L257" s="7">
        <v>9.6999999999999993</v>
      </c>
      <c r="M257" t="str">
        <f t="shared" si="3"/>
        <v>medium risk</v>
      </c>
    </row>
    <row r="258" spans="1:13">
      <c r="A258" s="7" t="s">
        <v>438</v>
      </c>
      <c r="B258" s="9">
        <v>42716</v>
      </c>
      <c r="C258" s="7">
        <v>2016</v>
      </c>
      <c r="D258" s="7" t="s">
        <v>107</v>
      </c>
      <c r="E258" s="7" t="s">
        <v>23</v>
      </c>
      <c r="F258" s="7" t="s">
        <v>41</v>
      </c>
      <c r="G258" s="7">
        <v>1449</v>
      </c>
      <c r="H258" s="7">
        <v>41</v>
      </c>
      <c r="I258" s="7" t="s">
        <v>25</v>
      </c>
      <c r="J258" s="7">
        <v>1</v>
      </c>
      <c r="K258" s="7">
        <v>0</v>
      </c>
      <c r="L258" s="7">
        <v>9.6999999999999993</v>
      </c>
      <c r="M258" t="str">
        <f t="shared" si="3"/>
        <v>medium risk</v>
      </c>
    </row>
    <row r="259" spans="1:13">
      <c r="A259" s="7" t="s">
        <v>439</v>
      </c>
      <c r="B259" s="9" t="s">
        <v>440</v>
      </c>
      <c r="C259" s="7">
        <v>2016</v>
      </c>
      <c r="D259" s="7" t="s">
        <v>44</v>
      </c>
      <c r="E259" s="7" t="s">
        <v>29</v>
      </c>
      <c r="F259" s="7" t="s">
        <v>41</v>
      </c>
      <c r="G259" s="7">
        <v>634</v>
      </c>
      <c r="H259" s="7">
        <v>33</v>
      </c>
      <c r="I259" s="7" t="s">
        <v>35</v>
      </c>
      <c r="J259" s="7">
        <v>0</v>
      </c>
      <c r="K259" s="7">
        <v>1</v>
      </c>
      <c r="L259" s="7">
        <v>-6.9</v>
      </c>
      <c r="M259" t="str">
        <f t="shared" ref="M259:M322" si="4">IF(G259&gt;2000,"high risk",IF(G259&gt;500,"medium risk","low risk"))</f>
        <v>medium risk</v>
      </c>
    </row>
    <row r="260" spans="1:13">
      <c r="A260" s="7" t="s">
        <v>441</v>
      </c>
      <c r="B260" s="9" t="s">
        <v>442</v>
      </c>
      <c r="C260" s="7">
        <v>2017</v>
      </c>
      <c r="D260" s="7" t="s">
        <v>40</v>
      </c>
      <c r="E260" s="7" t="s">
        <v>34</v>
      </c>
      <c r="F260" s="7" t="s">
        <v>41</v>
      </c>
      <c r="G260" s="7">
        <v>1563</v>
      </c>
      <c r="H260" s="7">
        <v>39</v>
      </c>
      <c r="I260" s="7" t="s">
        <v>30</v>
      </c>
      <c r="J260" s="7">
        <v>0</v>
      </c>
      <c r="K260" s="7">
        <v>0</v>
      </c>
      <c r="L260" s="7">
        <v>-9</v>
      </c>
      <c r="M260" t="str">
        <f t="shared" si="4"/>
        <v>medium risk</v>
      </c>
    </row>
    <row r="261" spans="1:13">
      <c r="A261" s="7" t="s">
        <v>443</v>
      </c>
      <c r="B261" s="9" t="s">
        <v>444</v>
      </c>
      <c r="C261" s="7">
        <v>2017</v>
      </c>
      <c r="D261" s="7" t="s">
        <v>101</v>
      </c>
      <c r="E261" s="7" t="s">
        <v>34</v>
      </c>
      <c r="F261" s="7" t="s">
        <v>41</v>
      </c>
      <c r="G261" s="7">
        <v>865</v>
      </c>
      <c r="H261" s="7">
        <v>41</v>
      </c>
      <c r="I261" s="7" t="s">
        <v>30</v>
      </c>
      <c r="J261" s="7">
        <v>0</v>
      </c>
      <c r="K261" s="7">
        <v>0</v>
      </c>
      <c r="L261" s="7">
        <v>-7.3</v>
      </c>
      <c r="M261" t="str">
        <f t="shared" si="4"/>
        <v>medium risk</v>
      </c>
    </row>
    <row r="262" spans="1:13">
      <c r="A262" s="7" t="s">
        <v>445</v>
      </c>
      <c r="B262" s="9">
        <v>42768</v>
      </c>
      <c r="C262" s="7">
        <v>2017</v>
      </c>
      <c r="D262" s="7" t="s">
        <v>22</v>
      </c>
      <c r="E262" s="7" t="s">
        <v>54</v>
      </c>
      <c r="F262" s="7" t="s">
        <v>24</v>
      </c>
      <c r="G262" s="7">
        <v>354</v>
      </c>
      <c r="H262" s="7">
        <v>22</v>
      </c>
      <c r="I262" s="7" t="s">
        <v>25</v>
      </c>
      <c r="J262" s="7">
        <v>1</v>
      </c>
      <c r="K262" s="7">
        <v>0</v>
      </c>
      <c r="L262" s="7">
        <v>2.2999999999999998</v>
      </c>
      <c r="M262" t="str">
        <f t="shared" si="4"/>
        <v>low risk</v>
      </c>
    </row>
    <row r="263" spans="1:13">
      <c r="A263" s="7" t="s">
        <v>446</v>
      </c>
      <c r="B263" s="9">
        <v>42918</v>
      </c>
      <c r="C263" s="7">
        <v>2017</v>
      </c>
      <c r="D263" s="7" t="s">
        <v>194</v>
      </c>
      <c r="E263" s="7" t="s">
        <v>78</v>
      </c>
      <c r="F263" s="7" t="s">
        <v>24</v>
      </c>
      <c r="G263" s="7">
        <v>92</v>
      </c>
      <c r="H263" s="7">
        <v>18</v>
      </c>
      <c r="I263" s="7" t="s">
        <v>35</v>
      </c>
      <c r="J263" s="7">
        <v>0</v>
      </c>
      <c r="K263" s="7">
        <v>1</v>
      </c>
      <c r="L263" s="7">
        <v>-20.399999999999999</v>
      </c>
      <c r="M263" t="str">
        <f t="shared" si="4"/>
        <v>low risk</v>
      </c>
    </row>
    <row r="264" spans="1:13">
      <c r="A264" s="7" t="s">
        <v>447</v>
      </c>
      <c r="B264" s="9" t="s">
        <v>448</v>
      </c>
      <c r="C264" s="7">
        <v>2017</v>
      </c>
      <c r="D264" s="7" t="s">
        <v>101</v>
      </c>
      <c r="E264" s="7" t="s">
        <v>29</v>
      </c>
      <c r="F264" s="7" t="s">
        <v>41</v>
      </c>
      <c r="G264" s="7">
        <v>1405</v>
      </c>
      <c r="H264" s="7">
        <v>32</v>
      </c>
      <c r="I264" s="7" t="s">
        <v>25</v>
      </c>
      <c r="J264" s="7">
        <v>1</v>
      </c>
      <c r="K264" s="7">
        <v>0</v>
      </c>
      <c r="L264" s="7">
        <v>10</v>
      </c>
      <c r="M264" t="str">
        <f t="shared" si="4"/>
        <v>medium risk</v>
      </c>
    </row>
    <row r="265" spans="1:13">
      <c r="A265" s="7" t="s">
        <v>449</v>
      </c>
      <c r="B265" s="9" t="s">
        <v>450</v>
      </c>
      <c r="C265" s="7">
        <v>2017</v>
      </c>
      <c r="D265" s="7" t="s">
        <v>28</v>
      </c>
      <c r="E265" s="7" t="s">
        <v>34</v>
      </c>
      <c r="F265" s="7" t="s">
        <v>41</v>
      </c>
      <c r="G265" s="7">
        <v>800</v>
      </c>
      <c r="H265" s="7">
        <v>26</v>
      </c>
      <c r="I265" s="7" t="s">
        <v>25</v>
      </c>
      <c r="J265" s="7">
        <v>1</v>
      </c>
      <c r="K265" s="7">
        <v>0</v>
      </c>
      <c r="L265" s="7">
        <v>13.9</v>
      </c>
      <c r="M265" t="str">
        <f t="shared" si="4"/>
        <v>medium risk</v>
      </c>
    </row>
    <row r="266" spans="1:13">
      <c r="A266" s="7" t="s">
        <v>451</v>
      </c>
      <c r="B266" s="9">
        <v>42769</v>
      </c>
      <c r="C266" s="7">
        <v>2017</v>
      </c>
      <c r="D266" s="7" t="s">
        <v>115</v>
      </c>
      <c r="E266" s="7" t="s">
        <v>76</v>
      </c>
      <c r="F266" s="7" t="s">
        <v>24</v>
      </c>
      <c r="G266" s="7">
        <v>268</v>
      </c>
      <c r="H266" s="7">
        <v>6</v>
      </c>
      <c r="I266" s="7" t="s">
        <v>25</v>
      </c>
      <c r="J266" s="7">
        <v>1</v>
      </c>
      <c r="K266" s="7">
        <v>0</v>
      </c>
      <c r="L266" s="7">
        <v>14.5</v>
      </c>
      <c r="M266" t="str">
        <f t="shared" si="4"/>
        <v>low risk</v>
      </c>
    </row>
    <row r="267" spans="1:13">
      <c r="A267" s="7" t="s">
        <v>452</v>
      </c>
      <c r="B267" s="9" t="s">
        <v>453</v>
      </c>
      <c r="C267" s="7">
        <v>2017</v>
      </c>
      <c r="D267" s="7" t="s">
        <v>40</v>
      </c>
      <c r="E267" s="7" t="s">
        <v>34</v>
      </c>
      <c r="F267" s="7" t="s">
        <v>41</v>
      </c>
      <c r="G267" s="7">
        <v>1716</v>
      </c>
      <c r="H267" s="7">
        <v>34</v>
      </c>
      <c r="I267" s="7" t="s">
        <v>35</v>
      </c>
      <c r="J267" s="7">
        <v>0</v>
      </c>
      <c r="K267" s="7">
        <v>1</v>
      </c>
      <c r="L267" s="7">
        <v>-20.399999999999999</v>
      </c>
      <c r="M267" t="str">
        <f t="shared" si="4"/>
        <v>medium risk</v>
      </c>
    </row>
    <row r="268" spans="1:13">
      <c r="A268" s="7" t="s">
        <v>454</v>
      </c>
      <c r="B268" s="9" t="s">
        <v>455</v>
      </c>
      <c r="C268" s="7">
        <v>2017</v>
      </c>
      <c r="D268" s="7" t="s">
        <v>115</v>
      </c>
      <c r="E268" s="7" t="s">
        <v>38</v>
      </c>
      <c r="F268" s="7" t="s">
        <v>41</v>
      </c>
      <c r="G268" s="7">
        <v>1216</v>
      </c>
      <c r="H268" s="7">
        <v>36</v>
      </c>
      <c r="I268" s="7" t="s">
        <v>25</v>
      </c>
      <c r="J268" s="7">
        <v>1</v>
      </c>
      <c r="K268" s="7">
        <v>0</v>
      </c>
      <c r="L268" s="7">
        <v>4.3</v>
      </c>
      <c r="M268" t="str">
        <f t="shared" si="4"/>
        <v>medium risk</v>
      </c>
    </row>
    <row r="269" spans="1:13">
      <c r="A269" s="7" t="s">
        <v>456</v>
      </c>
      <c r="B269" s="9" t="s">
        <v>457</v>
      </c>
      <c r="C269" s="7">
        <v>2017</v>
      </c>
      <c r="D269" s="7" t="s">
        <v>112</v>
      </c>
      <c r="E269" s="7" t="s">
        <v>83</v>
      </c>
      <c r="F269" s="7" t="s">
        <v>41</v>
      </c>
      <c r="G269" s="7">
        <v>2529</v>
      </c>
      <c r="H269" s="7">
        <v>36</v>
      </c>
      <c r="I269" s="7" t="s">
        <v>35</v>
      </c>
      <c r="J269" s="7">
        <v>0</v>
      </c>
      <c r="K269" s="7">
        <v>1</v>
      </c>
      <c r="L269" s="7">
        <v>-10.3</v>
      </c>
      <c r="M269" t="str">
        <f t="shared" si="4"/>
        <v>high risk</v>
      </c>
    </row>
    <row r="270" spans="1:13">
      <c r="A270" s="7" t="s">
        <v>458</v>
      </c>
      <c r="B270" s="9">
        <v>42739</v>
      </c>
      <c r="C270" s="7">
        <v>2017</v>
      </c>
      <c r="D270" s="7" t="s">
        <v>33</v>
      </c>
      <c r="E270" s="7" t="s">
        <v>38</v>
      </c>
      <c r="F270" s="7" t="s">
        <v>24</v>
      </c>
      <c r="G270" s="7">
        <v>100</v>
      </c>
      <c r="H270" s="7">
        <v>24</v>
      </c>
      <c r="I270" s="7" t="s">
        <v>25</v>
      </c>
      <c r="J270" s="7">
        <v>1</v>
      </c>
      <c r="K270" s="7">
        <v>0</v>
      </c>
      <c r="L270" s="7">
        <v>11.3</v>
      </c>
      <c r="M270" t="str">
        <f t="shared" si="4"/>
        <v>low risk</v>
      </c>
    </row>
    <row r="271" spans="1:13">
      <c r="A271" s="7" t="s">
        <v>459</v>
      </c>
      <c r="B271" s="9">
        <v>42739</v>
      </c>
      <c r="C271" s="7">
        <v>2017</v>
      </c>
      <c r="D271" s="7" t="s">
        <v>66</v>
      </c>
      <c r="E271" s="7" t="s">
        <v>83</v>
      </c>
      <c r="F271" s="7" t="s">
        <v>41</v>
      </c>
      <c r="G271" s="7">
        <v>1529</v>
      </c>
      <c r="H271" s="7">
        <v>27</v>
      </c>
      <c r="I271" s="7" t="s">
        <v>25</v>
      </c>
      <c r="J271" s="7">
        <v>1</v>
      </c>
      <c r="K271" s="7">
        <v>0</v>
      </c>
      <c r="L271" s="7">
        <v>7.8</v>
      </c>
      <c r="M271" t="str">
        <f t="shared" si="4"/>
        <v>medium risk</v>
      </c>
    </row>
    <row r="272" spans="1:13">
      <c r="A272" s="7" t="s">
        <v>460</v>
      </c>
      <c r="B272" s="9">
        <v>42798</v>
      </c>
      <c r="C272" s="7">
        <v>2017</v>
      </c>
      <c r="D272" s="7" t="s">
        <v>58</v>
      </c>
      <c r="E272" s="7" t="s">
        <v>83</v>
      </c>
      <c r="F272" s="7" t="s">
        <v>24</v>
      </c>
      <c r="G272" s="7">
        <v>123</v>
      </c>
      <c r="H272" s="7">
        <v>23</v>
      </c>
      <c r="I272" s="7" t="s">
        <v>25</v>
      </c>
      <c r="J272" s="7">
        <v>1</v>
      </c>
      <c r="K272" s="7">
        <v>0</v>
      </c>
      <c r="L272" s="7">
        <v>1.1000000000000001</v>
      </c>
      <c r="M272" t="str">
        <f t="shared" si="4"/>
        <v>low risk</v>
      </c>
    </row>
    <row r="273" spans="1:13">
      <c r="A273" s="7" t="s">
        <v>461</v>
      </c>
      <c r="B273" s="9">
        <v>43012</v>
      </c>
      <c r="C273" s="7">
        <v>2017</v>
      </c>
      <c r="D273" s="7" t="s">
        <v>22</v>
      </c>
      <c r="E273" s="7" t="s">
        <v>23</v>
      </c>
      <c r="F273" s="7" t="s">
        <v>41</v>
      </c>
      <c r="G273" s="7">
        <v>1068</v>
      </c>
      <c r="H273" s="7">
        <v>46</v>
      </c>
      <c r="I273" s="7" t="s">
        <v>35</v>
      </c>
      <c r="J273" s="7">
        <v>0</v>
      </c>
      <c r="K273" s="7">
        <v>1</v>
      </c>
      <c r="L273" s="7">
        <v>-5.4</v>
      </c>
      <c r="M273" t="str">
        <f t="shared" si="4"/>
        <v>medium risk</v>
      </c>
    </row>
    <row r="274" spans="1:13">
      <c r="A274" s="7" t="s">
        <v>462</v>
      </c>
      <c r="B274" s="9" t="s">
        <v>463</v>
      </c>
      <c r="C274" s="7">
        <v>2017</v>
      </c>
      <c r="D274" s="7" t="s">
        <v>37</v>
      </c>
      <c r="E274" s="7" t="s">
        <v>47</v>
      </c>
      <c r="F274" s="7" t="s">
        <v>24</v>
      </c>
      <c r="G274" s="7">
        <v>444</v>
      </c>
      <c r="H274" s="7">
        <v>10</v>
      </c>
      <c r="I274" s="7" t="s">
        <v>25</v>
      </c>
      <c r="J274" s="7">
        <v>1</v>
      </c>
      <c r="K274" s="7">
        <v>0</v>
      </c>
      <c r="L274" s="7">
        <v>10.8</v>
      </c>
      <c r="M274" t="str">
        <f t="shared" si="4"/>
        <v>low risk</v>
      </c>
    </row>
    <row r="275" spans="1:13">
      <c r="A275" s="7" t="s">
        <v>464</v>
      </c>
      <c r="B275" s="9">
        <v>43013</v>
      </c>
      <c r="C275" s="7">
        <v>2017</v>
      </c>
      <c r="D275" s="7" t="s">
        <v>68</v>
      </c>
      <c r="E275" s="7" t="s">
        <v>76</v>
      </c>
      <c r="F275" s="7" t="s">
        <v>41</v>
      </c>
      <c r="G275" s="7">
        <v>2401</v>
      </c>
      <c r="H275" s="7">
        <v>42</v>
      </c>
      <c r="I275" s="7" t="s">
        <v>35</v>
      </c>
      <c r="J275" s="7">
        <v>0</v>
      </c>
      <c r="K275" s="7">
        <v>1</v>
      </c>
      <c r="L275" s="7">
        <v>-26.6</v>
      </c>
      <c r="M275" t="str">
        <f t="shared" si="4"/>
        <v>high risk</v>
      </c>
    </row>
    <row r="276" spans="1:13">
      <c r="A276" s="7" t="s">
        <v>465</v>
      </c>
      <c r="B276" s="9" t="s">
        <v>466</v>
      </c>
      <c r="C276" s="7">
        <v>2017</v>
      </c>
      <c r="D276" s="7" t="s">
        <v>51</v>
      </c>
      <c r="E276" s="7" t="s">
        <v>34</v>
      </c>
      <c r="F276" s="7" t="s">
        <v>41</v>
      </c>
      <c r="G276" s="7">
        <v>1717</v>
      </c>
      <c r="H276" s="7">
        <v>34</v>
      </c>
      <c r="I276" s="7" t="s">
        <v>35</v>
      </c>
      <c r="J276" s="7">
        <v>0</v>
      </c>
      <c r="K276" s="7">
        <v>1</v>
      </c>
      <c r="L276" s="7">
        <v>-1.3</v>
      </c>
      <c r="M276" t="str">
        <f t="shared" si="4"/>
        <v>medium risk</v>
      </c>
    </row>
    <row r="277" spans="1:13">
      <c r="A277" s="7" t="s">
        <v>467</v>
      </c>
      <c r="B277" s="9" t="s">
        <v>468</v>
      </c>
      <c r="C277" s="7">
        <v>2017</v>
      </c>
      <c r="D277" s="7" t="s">
        <v>40</v>
      </c>
      <c r="E277" s="7" t="s">
        <v>83</v>
      </c>
      <c r="F277" s="7" t="s">
        <v>24</v>
      </c>
      <c r="G277" s="7">
        <v>153</v>
      </c>
      <c r="H277" s="7">
        <v>12</v>
      </c>
      <c r="I277" s="7" t="s">
        <v>25</v>
      </c>
      <c r="J277" s="7">
        <v>1</v>
      </c>
      <c r="K277" s="7">
        <v>0</v>
      </c>
      <c r="L277" s="7">
        <v>10.4</v>
      </c>
      <c r="M277" t="str">
        <f t="shared" si="4"/>
        <v>low risk</v>
      </c>
    </row>
    <row r="278" spans="1:13">
      <c r="A278" s="7" t="s">
        <v>469</v>
      </c>
      <c r="B278" s="9">
        <v>42741</v>
      </c>
      <c r="C278" s="7">
        <v>2017</v>
      </c>
      <c r="D278" s="7" t="s">
        <v>174</v>
      </c>
      <c r="E278" s="7" t="s">
        <v>47</v>
      </c>
      <c r="F278" s="7" t="s">
        <v>41</v>
      </c>
      <c r="G278" s="7">
        <v>262</v>
      </c>
      <c r="H278" s="7">
        <v>34</v>
      </c>
      <c r="I278" s="7" t="s">
        <v>25</v>
      </c>
      <c r="J278" s="7">
        <v>1</v>
      </c>
      <c r="K278" s="7">
        <v>0</v>
      </c>
      <c r="L278" s="7">
        <v>8.1</v>
      </c>
      <c r="M278" t="str">
        <f t="shared" si="4"/>
        <v>low risk</v>
      </c>
    </row>
    <row r="279" spans="1:13">
      <c r="A279" s="7" t="s">
        <v>470</v>
      </c>
      <c r="B279" s="9" t="s">
        <v>471</v>
      </c>
      <c r="C279" s="7">
        <v>2017</v>
      </c>
      <c r="D279" s="7" t="s">
        <v>174</v>
      </c>
      <c r="E279" s="7" t="s">
        <v>34</v>
      </c>
      <c r="F279" s="7" t="s">
        <v>41</v>
      </c>
      <c r="G279" s="7">
        <v>2343</v>
      </c>
      <c r="H279" s="7">
        <v>39</v>
      </c>
      <c r="I279" s="7" t="s">
        <v>30</v>
      </c>
      <c r="J279" s="7">
        <v>0</v>
      </c>
      <c r="K279" s="7">
        <v>0</v>
      </c>
      <c r="L279" s="7">
        <v>-1.9</v>
      </c>
      <c r="M279" t="str">
        <f t="shared" si="4"/>
        <v>high risk</v>
      </c>
    </row>
    <row r="280" spans="1:13">
      <c r="A280" s="7" t="s">
        <v>472</v>
      </c>
      <c r="B280" s="9">
        <v>42743</v>
      </c>
      <c r="C280" s="7">
        <v>2017</v>
      </c>
      <c r="D280" s="7" t="s">
        <v>51</v>
      </c>
      <c r="E280" s="7" t="s">
        <v>47</v>
      </c>
      <c r="F280" s="7" t="s">
        <v>41</v>
      </c>
      <c r="G280" s="7">
        <v>317</v>
      </c>
      <c r="H280" s="7">
        <v>34</v>
      </c>
      <c r="I280" s="7" t="s">
        <v>25</v>
      </c>
      <c r="J280" s="7">
        <v>1</v>
      </c>
      <c r="K280" s="7">
        <v>0</v>
      </c>
      <c r="L280" s="7">
        <v>10.7</v>
      </c>
      <c r="M280" t="str">
        <f t="shared" si="4"/>
        <v>low risk</v>
      </c>
    </row>
    <row r="281" spans="1:13">
      <c r="A281" s="7" t="s">
        <v>473</v>
      </c>
      <c r="B281" s="9">
        <v>42894</v>
      </c>
      <c r="C281" s="7">
        <v>2017</v>
      </c>
      <c r="D281" s="7" t="s">
        <v>68</v>
      </c>
      <c r="E281" s="7" t="s">
        <v>29</v>
      </c>
      <c r="F281" s="7" t="s">
        <v>24</v>
      </c>
      <c r="G281" s="7">
        <v>162</v>
      </c>
      <c r="H281" s="7">
        <v>20</v>
      </c>
      <c r="I281" s="7" t="s">
        <v>25</v>
      </c>
      <c r="J281" s="7">
        <v>1</v>
      </c>
      <c r="K281" s="7">
        <v>0</v>
      </c>
      <c r="L281" s="7">
        <v>1.3</v>
      </c>
      <c r="M281" t="str">
        <f t="shared" si="4"/>
        <v>low risk</v>
      </c>
    </row>
    <row r="282" spans="1:13">
      <c r="A282" s="7" t="s">
        <v>474</v>
      </c>
      <c r="B282" s="9">
        <v>43016</v>
      </c>
      <c r="C282" s="7">
        <v>2017</v>
      </c>
      <c r="D282" s="7" t="s">
        <v>33</v>
      </c>
      <c r="E282" s="7" t="s">
        <v>34</v>
      </c>
      <c r="F282" s="7" t="s">
        <v>24</v>
      </c>
      <c r="G282" s="7">
        <v>218</v>
      </c>
      <c r="H282" s="7">
        <v>6</v>
      </c>
      <c r="I282" s="7" t="s">
        <v>35</v>
      </c>
      <c r="J282" s="7">
        <v>0</v>
      </c>
      <c r="K282" s="7">
        <v>1</v>
      </c>
      <c r="L282" s="7">
        <v>-20.100000000000001</v>
      </c>
      <c r="M282" t="str">
        <f t="shared" si="4"/>
        <v>low risk</v>
      </c>
    </row>
    <row r="283" spans="1:13">
      <c r="A283" s="7" t="s">
        <v>475</v>
      </c>
      <c r="B283" s="9" t="s">
        <v>476</v>
      </c>
      <c r="C283" s="7">
        <v>2017</v>
      </c>
      <c r="D283" s="7" t="s">
        <v>115</v>
      </c>
      <c r="E283" s="7" t="s">
        <v>38</v>
      </c>
      <c r="F283" s="7" t="s">
        <v>41</v>
      </c>
      <c r="G283" s="7">
        <v>2089</v>
      </c>
      <c r="H283" s="7">
        <v>35</v>
      </c>
      <c r="I283" s="7" t="s">
        <v>35</v>
      </c>
      <c r="J283" s="7">
        <v>0</v>
      </c>
      <c r="K283" s="7">
        <v>1</v>
      </c>
      <c r="L283" s="7">
        <v>-20.399999999999999</v>
      </c>
      <c r="M283" t="str">
        <f t="shared" si="4"/>
        <v>high risk</v>
      </c>
    </row>
    <row r="284" spans="1:13">
      <c r="A284" s="7" t="s">
        <v>477</v>
      </c>
      <c r="B284" s="9">
        <v>42834</v>
      </c>
      <c r="C284" s="7">
        <v>2017</v>
      </c>
      <c r="D284" s="7" t="s">
        <v>194</v>
      </c>
      <c r="E284" s="7" t="s">
        <v>34</v>
      </c>
      <c r="F284" s="7" t="s">
        <v>41</v>
      </c>
      <c r="G284" s="7">
        <v>1037</v>
      </c>
      <c r="H284" s="7">
        <v>29</v>
      </c>
      <c r="I284" s="7" t="s">
        <v>25</v>
      </c>
      <c r="J284" s="7">
        <v>1</v>
      </c>
      <c r="K284" s="7">
        <v>0</v>
      </c>
      <c r="L284" s="7">
        <v>13.3</v>
      </c>
      <c r="M284" t="str">
        <f t="shared" si="4"/>
        <v>medium risk</v>
      </c>
    </row>
    <row r="285" spans="1:13">
      <c r="A285" s="7" t="s">
        <v>478</v>
      </c>
      <c r="B285" s="9" t="s">
        <v>479</v>
      </c>
      <c r="C285" s="7">
        <v>2017</v>
      </c>
      <c r="D285" s="7" t="s">
        <v>96</v>
      </c>
      <c r="E285" s="7" t="s">
        <v>47</v>
      </c>
      <c r="F285" s="7" t="s">
        <v>41</v>
      </c>
      <c r="G285" s="7">
        <v>781</v>
      </c>
      <c r="H285" s="7">
        <v>30</v>
      </c>
      <c r="I285" s="7" t="s">
        <v>30</v>
      </c>
      <c r="J285" s="7">
        <v>0</v>
      </c>
      <c r="K285" s="7">
        <v>0</v>
      </c>
      <c r="L285" s="7">
        <v>-7.6</v>
      </c>
      <c r="M285" t="str">
        <f t="shared" si="4"/>
        <v>medium risk</v>
      </c>
    </row>
    <row r="286" spans="1:13">
      <c r="A286" s="7" t="s">
        <v>480</v>
      </c>
      <c r="B286" s="9" t="s">
        <v>481</v>
      </c>
      <c r="C286" s="7">
        <v>2017</v>
      </c>
      <c r="D286" s="7" t="s">
        <v>66</v>
      </c>
      <c r="E286" s="7" t="s">
        <v>34</v>
      </c>
      <c r="F286" s="7" t="s">
        <v>41</v>
      </c>
      <c r="G286" s="7">
        <v>978</v>
      </c>
      <c r="H286" s="7">
        <v>34</v>
      </c>
      <c r="I286" s="7" t="s">
        <v>25</v>
      </c>
      <c r="J286" s="7">
        <v>1</v>
      </c>
      <c r="K286" s="7">
        <v>0</v>
      </c>
      <c r="L286" s="7">
        <v>9.3000000000000007</v>
      </c>
      <c r="M286" t="str">
        <f t="shared" si="4"/>
        <v>medium risk</v>
      </c>
    </row>
    <row r="287" spans="1:13">
      <c r="A287" s="7" t="s">
        <v>482</v>
      </c>
      <c r="B287" s="9" t="s">
        <v>483</v>
      </c>
      <c r="C287" s="7">
        <v>2017</v>
      </c>
      <c r="D287" s="7" t="s">
        <v>68</v>
      </c>
      <c r="E287" s="7" t="s">
        <v>83</v>
      </c>
      <c r="F287" s="7" t="s">
        <v>41</v>
      </c>
      <c r="G287" s="7">
        <v>886</v>
      </c>
      <c r="H287" s="7">
        <v>33</v>
      </c>
      <c r="I287" s="7" t="s">
        <v>25</v>
      </c>
      <c r="J287" s="7">
        <v>1</v>
      </c>
      <c r="K287" s="7">
        <v>0</v>
      </c>
      <c r="L287" s="7">
        <v>6.3</v>
      </c>
      <c r="M287" t="str">
        <f t="shared" si="4"/>
        <v>medium risk</v>
      </c>
    </row>
    <row r="288" spans="1:13">
      <c r="A288" s="7" t="s">
        <v>484</v>
      </c>
      <c r="B288" s="9">
        <v>42835</v>
      </c>
      <c r="C288" s="7">
        <v>2017</v>
      </c>
      <c r="D288" s="7" t="s">
        <v>174</v>
      </c>
      <c r="E288" s="7" t="s">
        <v>76</v>
      </c>
      <c r="F288" s="7" t="s">
        <v>41</v>
      </c>
      <c r="G288" s="7">
        <v>978</v>
      </c>
      <c r="H288" s="7">
        <v>34</v>
      </c>
      <c r="I288" s="7" t="s">
        <v>30</v>
      </c>
      <c r="J288" s="7">
        <v>0</v>
      </c>
      <c r="K288" s="7">
        <v>0</v>
      </c>
      <c r="L288" s="7">
        <v>-9.6999999999999993</v>
      </c>
      <c r="M288" t="str">
        <f t="shared" si="4"/>
        <v>medium risk</v>
      </c>
    </row>
    <row r="289" spans="1:13">
      <c r="A289" s="7" t="s">
        <v>485</v>
      </c>
      <c r="B289" s="9">
        <v>42957</v>
      </c>
      <c r="C289" s="7">
        <v>2017</v>
      </c>
      <c r="D289" s="7" t="s">
        <v>37</v>
      </c>
      <c r="E289" s="7" t="s">
        <v>76</v>
      </c>
      <c r="F289" s="7" t="s">
        <v>24</v>
      </c>
      <c r="G289" s="7">
        <v>375</v>
      </c>
      <c r="H289" s="7">
        <v>21</v>
      </c>
      <c r="I289" s="7" t="s">
        <v>25</v>
      </c>
      <c r="J289" s="7">
        <v>1</v>
      </c>
      <c r="K289" s="7">
        <v>0</v>
      </c>
      <c r="L289" s="7">
        <v>6.9</v>
      </c>
      <c r="M289" t="str">
        <f t="shared" si="4"/>
        <v>low risk</v>
      </c>
    </row>
    <row r="290" spans="1:13">
      <c r="A290" s="7" t="s">
        <v>486</v>
      </c>
      <c r="B290" s="9">
        <v>43079</v>
      </c>
      <c r="C290" s="7">
        <v>2017</v>
      </c>
      <c r="D290" s="7" t="s">
        <v>46</v>
      </c>
      <c r="E290" s="7" t="s">
        <v>76</v>
      </c>
      <c r="F290" s="7" t="s">
        <v>24</v>
      </c>
      <c r="G290" s="7">
        <v>54</v>
      </c>
      <c r="H290" s="7">
        <v>8</v>
      </c>
      <c r="I290" s="7" t="s">
        <v>25</v>
      </c>
      <c r="J290" s="7">
        <v>1</v>
      </c>
      <c r="K290" s="7">
        <v>0</v>
      </c>
      <c r="L290" s="7">
        <v>-1.4</v>
      </c>
      <c r="M290" t="str">
        <f t="shared" si="4"/>
        <v>low risk</v>
      </c>
    </row>
    <row r="291" spans="1:13">
      <c r="A291" s="7" t="s">
        <v>487</v>
      </c>
      <c r="B291" s="9" t="s">
        <v>488</v>
      </c>
      <c r="C291" s="7">
        <v>2017</v>
      </c>
      <c r="D291" s="7" t="s">
        <v>156</v>
      </c>
      <c r="E291" s="7" t="s">
        <v>34</v>
      </c>
      <c r="F291" s="7" t="s">
        <v>24</v>
      </c>
      <c r="G291" s="7">
        <v>180</v>
      </c>
      <c r="H291" s="7">
        <v>18</v>
      </c>
      <c r="I291" s="7" t="s">
        <v>35</v>
      </c>
      <c r="J291" s="7">
        <v>0</v>
      </c>
      <c r="K291" s="7">
        <v>1</v>
      </c>
      <c r="L291" s="7">
        <v>-4.5999999999999996</v>
      </c>
      <c r="M291" t="str">
        <f t="shared" si="4"/>
        <v>low risk</v>
      </c>
    </row>
    <row r="292" spans="1:13">
      <c r="A292" s="7" t="s">
        <v>489</v>
      </c>
      <c r="B292" s="9" t="s">
        <v>490</v>
      </c>
      <c r="C292" s="7">
        <v>2017</v>
      </c>
      <c r="D292" s="7" t="s">
        <v>44</v>
      </c>
      <c r="E292" s="7" t="s">
        <v>83</v>
      </c>
      <c r="F292" s="7" t="s">
        <v>24</v>
      </c>
      <c r="G292" s="7">
        <v>229</v>
      </c>
      <c r="H292" s="7">
        <v>12</v>
      </c>
      <c r="I292" s="7" t="s">
        <v>25</v>
      </c>
      <c r="J292" s="7">
        <v>1</v>
      </c>
      <c r="K292" s="7">
        <v>0</v>
      </c>
      <c r="L292" s="7">
        <v>6.5</v>
      </c>
      <c r="M292" t="str">
        <f t="shared" si="4"/>
        <v>low risk</v>
      </c>
    </row>
    <row r="293" spans="1:13">
      <c r="A293" s="7" t="s">
        <v>491</v>
      </c>
      <c r="B293" s="9">
        <v>42746</v>
      </c>
      <c r="C293" s="7">
        <v>2017</v>
      </c>
      <c r="D293" s="7" t="s">
        <v>44</v>
      </c>
      <c r="E293" s="7" t="s">
        <v>34</v>
      </c>
      <c r="F293" s="7" t="s">
        <v>24</v>
      </c>
      <c r="G293" s="7">
        <v>276</v>
      </c>
      <c r="H293" s="7">
        <v>21</v>
      </c>
      <c r="I293" s="7" t="s">
        <v>30</v>
      </c>
      <c r="J293" s="7">
        <v>0</v>
      </c>
      <c r="K293" s="7">
        <v>0</v>
      </c>
      <c r="L293" s="7">
        <v>-9.1</v>
      </c>
      <c r="M293" t="str">
        <f t="shared" si="4"/>
        <v>low risk</v>
      </c>
    </row>
    <row r="294" spans="1:13">
      <c r="A294" s="7" t="s">
        <v>492</v>
      </c>
      <c r="B294" s="9">
        <v>42958</v>
      </c>
      <c r="C294" s="7">
        <v>2017</v>
      </c>
      <c r="D294" s="7" t="s">
        <v>144</v>
      </c>
      <c r="E294" s="7" t="s">
        <v>76</v>
      </c>
      <c r="F294" s="7" t="s">
        <v>24</v>
      </c>
      <c r="G294" s="7">
        <v>222</v>
      </c>
      <c r="H294" s="7">
        <v>17</v>
      </c>
      <c r="I294" s="7" t="s">
        <v>35</v>
      </c>
      <c r="J294" s="7">
        <v>0</v>
      </c>
      <c r="K294" s="7">
        <v>1</v>
      </c>
      <c r="L294" s="7">
        <v>-15.1</v>
      </c>
      <c r="M294" t="str">
        <f t="shared" si="4"/>
        <v>low risk</v>
      </c>
    </row>
    <row r="295" spans="1:13">
      <c r="A295" s="7" t="s">
        <v>493</v>
      </c>
      <c r="B295" s="9">
        <v>43050</v>
      </c>
      <c r="C295" s="7">
        <v>2017</v>
      </c>
      <c r="D295" s="7" t="s">
        <v>22</v>
      </c>
      <c r="E295" s="7" t="s">
        <v>29</v>
      </c>
      <c r="F295" s="7" t="s">
        <v>24</v>
      </c>
      <c r="G295" s="7">
        <v>183</v>
      </c>
      <c r="H295" s="7">
        <v>12</v>
      </c>
      <c r="I295" s="7" t="s">
        <v>30</v>
      </c>
      <c r="J295" s="7">
        <v>0</v>
      </c>
      <c r="K295" s="7">
        <v>0</v>
      </c>
      <c r="L295" s="7">
        <v>-7.8</v>
      </c>
      <c r="M295" t="str">
        <f t="shared" si="4"/>
        <v>low risk</v>
      </c>
    </row>
    <row r="296" spans="1:13">
      <c r="A296" s="7" t="s">
        <v>494</v>
      </c>
      <c r="B296" s="9" t="s">
        <v>495</v>
      </c>
      <c r="C296" s="7">
        <v>2017</v>
      </c>
      <c r="D296" s="7" t="s">
        <v>51</v>
      </c>
      <c r="E296" s="7" t="s">
        <v>29</v>
      </c>
      <c r="F296" s="7" t="s">
        <v>41</v>
      </c>
      <c r="G296" s="7">
        <v>861</v>
      </c>
      <c r="H296" s="7">
        <v>31</v>
      </c>
      <c r="I296" s="7" t="s">
        <v>25</v>
      </c>
      <c r="J296" s="7">
        <v>1</v>
      </c>
      <c r="K296" s="7">
        <v>0</v>
      </c>
      <c r="L296" s="7">
        <v>4.9000000000000004</v>
      </c>
      <c r="M296" t="str">
        <f t="shared" si="4"/>
        <v>medium risk</v>
      </c>
    </row>
    <row r="297" spans="1:13">
      <c r="A297" s="7" t="s">
        <v>496</v>
      </c>
      <c r="B297" s="9" t="s">
        <v>497</v>
      </c>
      <c r="C297" s="7">
        <v>2017</v>
      </c>
      <c r="D297" s="7" t="s">
        <v>33</v>
      </c>
      <c r="E297" s="7" t="s">
        <v>29</v>
      </c>
      <c r="F297" s="7" t="s">
        <v>41</v>
      </c>
      <c r="G297" s="7">
        <v>1642</v>
      </c>
      <c r="H297" s="7">
        <v>34</v>
      </c>
      <c r="I297" s="7" t="s">
        <v>25</v>
      </c>
      <c r="J297" s="7">
        <v>1</v>
      </c>
      <c r="K297" s="7">
        <v>0</v>
      </c>
      <c r="L297" s="7">
        <v>8</v>
      </c>
      <c r="M297" t="str">
        <f t="shared" si="4"/>
        <v>medium risk</v>
      </c>
    </row>
    <row r="298" spans="1:13">
      <c r="A298" s="7" t="s">
        <v>498</v>
      </c>
      <c r="B298" s="9" t="s">
        <v>499</v>
      </c>
      <c r="C298" s="7">
        <v>2017</v>
      </c>
      <c r="D298" s="7" t="s">
        <v>22</v>
      </c>
      <c r="E298" s="7" t="s">
        <v>38</v>
      </c>
      <c r="F298" s="7" t="s">
        <v>24</v>
      </c>
      <c r="G298" s="7">
        <v>151</v>
      </c>
      <c r="H298" s="7">
        <v>24</v>
      </c>
      <c r="I298" s="7" t="s">
        <v>25</v>
      </c>
      <c r="J298" s="7">
        <v>1</v>
      </c>
      <c r="K298" s="7">
        <v>0</v>
      </c>
      <c r="L298" s="7">
        <v>17.899999999999999</v>
      </c>
      <c r="M298" t="str">
        <f t="shared" si="4"/>
        <v>low risk</v>
      </c>
    </row>
    <row r="299" spans="1:13">
      <c r="A299" s="7" t="s">
        <v>500</v>
      </c>
      <c r="B299" s="9" t="s">
        <v>501</v>
      </c>
      <c r="C299" s="7">
        <v>2017</v>
      </c>
      <c r="D299" s="7" t="s">
        <v>75</v>
      </c>
      <c r="E299" s="7" t="s">
        <v>34</v>
      </c>
      <c r="F299" s="7" t="s">
        <v>24</v>
      </c>
      <c r="G299" s="7">
        <v>248</v>
      </c>
      <c r="H299" s="7">
        <v>19</v>
      </c>
      <c r="I299" s="7" t="s">
        <v>25</v>
      </c>
      <c r="J299" s="7">
        <v>1</v>
      </c>
      <c r="K299" s="7">
        <v>0</v>
      </c>
      <c r="L299" s="7">
        <v>5.9</v>
      </c>
      <c r="M299" t="str">
        <f t="shared" si="4"/>
        <v>low risk</v>
      </c>
    </row>
    <row r="300" spans="1:13">
      <c r="A300" s="7" t="s">
        <v>502</v>
      </c>
      <c r="B300" s="9" t="s">
        <v>503</v>
      </c>
      <c r="C300" s="7">
        <v>2017</v>
      </c>
      <c r="D300" s="7" t="s">
        <v>174</v>
      </c>
      <c r="E300" s="7" t="s">
        <v>83</v>
      </c>
      <c r="F300" s="7" t="s">
        <v>24</v>
      </c>
      <c r="G300" s="7">
        <v>241</v>
      </c>
      <c r="H300" s="7">
        <v>21</v>
      </c>
      <c r="I300" s="7" t="s">
        <v>25</v>
      </c>
      <c r="J300" s="7">
        <v>1</v>
      </c>
      <c r="K300" s="7">
        <v>0</v>
      </c>
      <c r="L300" s="7">
        <v>5.8</v>
      </c>
      <c r="M300" t="str">
        <f t="shared" si="4"/>
        <v>low risk</v>
      </c>
    </row>
    <row r="301" spans="1:13">
      <c r="A301" s="7" t="s">
        <v>504</v>
      </c>
      <c r="B301" s="9">
        <v>43436</v>
      </c>
      <c r="C301" s="7">
        <v>2018</v>
      </c>
      <c r="D301" s="7" t="s">
        <v>101</v>
      </c>
      <c r="E301" s="7" t="s">
        <v>29</v>
      </c>
      <c r="F301" s="7" t="s">
        <v>24</v>
      </c>
      <c r="G301" s="7">
        <v>272</v>
      </c>
      <c r="H301" s="7">
        <v>18</v>
      </c>
      <c r="I301" s="7" t="s">
        <v>25</v>
      </c>
      <c r="J301" s="7">
        <v>1</v>
      </c>
      <c r="K301" s="7">
        <v>0</v>
      </c>
      <c r="L301" s="7">
        <v>12.6</v>
      </c>
      <c r="M301" t="str">
        <f t="shared" si="4"/>
        <v>low risk</v>
      </c>
    </row>
    <row r="302" spans="1:13">
      <c r="A302" s="7" t="s">
        <v>505</v>
      </c>
      <c r="B302" s="9" t="s">
        <v>506</v>
      </c>
      <c r="C302" s="7">
        <v>2018</v>
      </c>
      <c r="D302" s="7" t="s">
        <v>37</v>
      </c>
      <c r="E302" s="7" t="s">
        <v>34</v>
      </c>
      <c r="F302" s="7" t="s">
        <v>41</v>
      </c>
      <c r="G302" s="7">
        <v>1519</v>
      </c>
      <c r="H302" s="7">
        <v>37</v>
      </c>
      <c r="I302" s="7" t="s">
        <v>35</v>
      </c>
      <c r="J302" s="7">
        <v>0</v>
      </c>
      <c r="K302" s="7">
        <v>1</v>
      </c>
      <c r="L302" s="7">
        <v>-2.2000000000000002</v>
      </c>
      <c r="M302" t="str">
        <f t="shared" si="4"/>
        <v>medium risk</v>
      </c>
    </row>
    <row r="303" spans="1:13">
      <c r="A303" s="7" t="s">
        <v>507</v>
      </c>
      <c r="B303" s="9" t="s">
        <v>508</v>
      </c>
      <c r="C303" s="7">
        <v>2018</v>
      </c>
      <c r="D303" s="7" t="s">
        <v>28</v>
      </c>
      <c r="E303" s="7" t="s">
        <v>34</v>
      </c>
      <c r="F303" s="7" t="s">
        <v>41</v>
      </c>
      <c r="G303" s="7">
        <v>732</v>
      </c>
      <c r="H303" s="7">
        <v>36</v>
      </c>
      <c r="I303" s="7" t="s">
        <v>35</v>
      </c>
      <c r="J303" s="7">
        <v>0</v>
      </c>
      <c r="K303" s="7">
        <v>1</v>
      </c>
      <c r="L303" s="7">
        <v>-19.8</v>
      </c>
      <c r="M303" t="str">
        <f t="shared" si="4"/>
        <v>medium risk</v>
      </c>
    </row>
    <row r="304" spans="1:13">
      <c r="A304" s="7" t="s">
        <v>509</v>
      </c>
      <c r="B304" s="9" t="s">
        <v>510</v>
      </c>
      <c r="C304" s="7">
        <v>2018</v>
      </c>
      <c r="D304" s="7" t="s">
        <v>22</v>
      </c>
      <c r="E304" s="7" t="s">
        <v>23</v>
      </c>
      <c r="F304" s="7" t="s">
        <v>24</v>
      </c>
      <c r="G304" s="7">
        <v>292</v>
      </c>
      <c r="H304" s="7">
        <v>18</v>
      </c>
      <c r="I304" s="7" t="s">
        <v>35</v>
      </c>
      <c r="J304" s="7">
        <v>0</v>
      </c>
      <c r="K304" s="7">
        <v>1</v>
      </c>
      <c r="L304" s="7">
        <v>-23.5</v>
      </c>
      <c r="M304" t="str">
        <f t="shared" si="4"/>
        <v>low risk</v>
      </c>
    </row>
    <row r="305" spans="1:13">
      <c r="A305" s="7" t="s">
        <v>511</v>
      </c>
      <c r="B305" s="9">
        <v>43163</v>
      </c>
      <c r="C305" s="7">
        <v>2018</v>
      </c>
      <c r="D305" s="7" t="s">
        <v>40</v>
      </c>
      <c r="E305" s="7" t="s">
        <v>76</v>
      </c>
      <c r="F305" s="7" t="s">
        <v>24</v>
      </c>
      <c r="G305" s="7">
        <v>558</v>
      </c>
      <c r="H305" s="7">
        <v>13</v>
      </c>
      <c r="I305" s="7" t="s">
        <v>35</v>
      </c>
      <c r="J305" s="7">
        <v>0</v>
      </c>
      <c r="K305" s="7">
        <v>1</v>
      </c>
      <c r="L305" s="7">
        <v>-21</v>
      </c>
      <c r="M305" t="str">
        <f t="shared" si="4"/>
        <v>medium risk</v>
      </c>
    </row>
    <row r="306" spans="1:13">
      <c r="A306" s="7" t="s">
        <v>512</v>
      </c>
      <c r="B306" s="9">
        <v>43377</v>
      </c>
      <c r="C306" s="7">
        <v>2018</v>
      </c>
      <c r="D306" s="7" t="s">
        <v>101</v>
      </c>
      <c r="E306" s="7" t="s">
        <v>83</v>
      </c>
      <c r="F306" s="7" t="s">
        <v>24</v>
      </c>
      <c r="G306" s="7">
        <v>388</v>
      </c>
      <c r="H306" s="7">
        <v>14</v>
      </c>
      <c r="I306" s="7" t="s">
        <v>25</v>
      </c>
      <c r="J306" s="7">
        <v>1</v>
      </c>
      <c r="K306" s="7">
        <v>0</v>
      </c>
      <c r="L306" s="7">
        <v>9.3000000000000007</v>
      </c>
      <c r="M306" t="str">
        <f t="shared" si="4"/>
        <v>low risk</v>
      </c>
    </row>
    <row r="307" spans="1:13">
      <c r="A307" s="7" t="s">
        <v>513</v>
      </c>
      <c r="B307" s="9" t="s">
        <v>514</v>
      </c>
      <c r="C307" s="7">
        <v>2018</v>
      </c>
      <c r="D307" s="7" t="s">
        <v>22</v>
      </c>
      <c r="E307" s="7" t="s">
        <v>83</v>
      </c>
      <c r="F307" s="7" t="s">
        <v>24</v>
      </c>
      <c r="G307" s="7">
        <v>87</v>
      </c>
      <c r="H307" s="7">
        <v>14</v>
      </c>
      <c r="I307" s="7" t="s">
        <v>25</v>
      </c>
      <c r="J307" s="7">
        <v>1</v>
      </c>
      <c r="K307" s="7">
        <v>0</v>
      </c>
      <c r="L307" s="7">
        <v>11.8</v>
      </c>
      <c r="M307" t="str">
        <f t="shared" si="4"/>
        <v>low risk</v>
      </c>
    </row>
    <row r="308" spans="1:13">
      <c r="A308" s="7" t="s">
        <v>515</v>
      </c>
      <c r="B308" s="9">
        <v>43195</v>
      </c>
      <c r="C308" s="7">
        <v>2018</v>
      </c>
      <c r="D308" s="7" t="s">
        <v>22</v>
      </c>
      <c r="E308" s="7" t="s">
        <v>38</v>
      </c>
      <c r="F308" s="7" t="s">
        <v>41</v>
      </c>
      <c r="G308" s="7">
        <v>2695</v>
      </c>
      <c r="H308" s="7">
        <v>27</v>
      </c>
      <c r="I308" s="7" t="s">
        <v>25</v>
      </c>
      <c r="J308" s="7">
        <v>1</v>
      </c>
      <c r="K308" s="7">
        <v>0</v>
      </c>
      <c r="L308" s="7">
        <v>4.0999999999999996</v>
      </c>
      <c r="M308" t="str">
        <f t="shared" si="4"/>
        <v>high risk</v>
      </c>
    </row>
    <row r="309" spans="1:13">
      <c r="A309" s="7" t="s">
        <v>516</v>
      </c>
      <c r="B309" s="9">
        <v>43317</v>
      </c>
      <c r="C309" s="7">
        <v>2018</v>
      </c>
      <c r="D309" s="7" t="s">
        <v>107</v>
      </c>
      <c r="E309" s="7" t="s">
        <v>47</v>
      </c>
      <c r="F309" s="7" t="s">
        <v>41</v>
      </c>
      <c r="G309" s="7">
        <v>865</v>
      </c>
      <c r="H309" s="7">
        <v>25</v>
      </c>
      <c r="I309" s="7" t="s">
        <v>25</v>
      </c>
      <c r="J309" s="7">
        <v>1</v>
      </c>
      <c r="K309" s="7">
        <v>0</v>
      </c>
      <c r="L309" s="7">
        <v>9.6</v>
      </c>
      <c r="M309" t="str">
        <f t="shared" si="4"/>
        <v>medium risk</v>
      </c>
    </row>
    <row r="310" spans="1:13">
      <c r="A310" s="7" t="s">
        <v>517</v>
      </c>
      <c r="B310" s="9">
        <v>43409</v>
      </c>
      <c r="C310" s="7">
        <v>2018</v>
      </c>
      <c r="D310" s="7" t="s">
        <v>46</v>
      </c>
      <c r="E310" s="7" t="s">
        <v>38</v>
      </c>
      <c r="F310" s="7" t="s">
        <v>41</v>
      </c>
      <c r="G310" s="7">
        <v>3095</v>
      </c>
      <c r="H310" s="7">
        <v>32</v>
      </c>
      <c r="I310" s="7" t="s">
        <v>25</v>
      </c>
      <c r="J310" s="7">
        <v>1</v>
      </c>
      <c r="K310" s="7">
        <v>0</v>
      </c>
      <c r="L310" s="7">
        <v>7.3</v>
      </c>
      <c r="M310" t="str">
        <f t="shared" si="4"/>
        <v>high risk</v>
      </c>
    </row>
    <row r="311" spans="1:13">
      <c r="A311" s="7" t="s">
        <v>518</v>
      </c>
      <c r="B311" s="9">
        <v>43165</v>
      </c>
      <c r="C311" s="7">
        <v>2018</v>
      </c>
      <c r="D311" s="7" t="s">
        <v>51</v>
      </c>
      <c r="E311" s="7" t="s">
        <v>34</v>
      </c>
      <c r="F311" s="7" t="s">
        <v>24</v>
      </c>
      <c r="G311" s="7">
        <v>179</v>
      </c>
      <c r="H311" s="7">
        <v>9</v>
      </c>
      <c r="I311" s="7" t="s">
        <v>35</v>
      </c>
      <c r="J311" s="7">
        <v>0</v>
      </c>
      <c r="K311" s="7">
        <v>1</v>
      </c>
      <c r="L311" s="7">
        <v>-29.8</v>
      </c>
      <c r="M311" t="str">
        <f t="shared" si="4"/>
        <v>low risk</v>
      </c>
    </row>
    <row r="312" spans="1:13">
      <c r="A312" s="7" t="s">
        <v>519</v>
      </c>
      <c r="B312" s="9">
        <v>43410</v>
      </c>
      <c r="C312" s="7">
        <v>2018</v>
      </c>
      <c r="D312" s="7" t="s">
        <v>58</v>
      </c>
      <c r="E312" s="7" t="s">
        <v>34</v>
      </c>
      <c r="F312" s="7" t="s">
        <v>24</v>
      </c>
      <c r="G312" s="7">
        <v>523</v>
      </c>
      <c r="H312" s="7">
        <v>26</v>
      </c>
      <c r="I312" s="7" t="s">
        <v>35</v>
      </c>
      <c r="J312" s="7">
        <v>0</v>
      </c>
      <c r="K312" s="7">
        <v>1</v>
      </c>
      <c r="L312" s="7">
        <v>-2.4</v>
      </c>
      <c r="M312" t="str">
        <f t="shared" si="4"/>
        <v>medium risk</v>
      </c>
    </row>
    <row r="313" spans="1:13">
      <c r="A313" s="7" t="s">
        <v>520</v>
      </c>
      <c r="B313" s="9">
        <v>43440</v>
      </c>
      <c r="C313" s="7">
        <v>2018</v>
      </c>
      <c r="D313" s="7" t="s">
        <v>28</v>
      </c>
      <c r="E313" s="7" t="s">
        <v>34</v>
      </c>
      <c r="F313" s="7" t="s">
        <v>41</v>
      </c>
      <c r="G313" s="7">
        <v>1729</v>
      </c>
      <c r="H313" s="7">
        <v>32</v>
      </c>
      <c r="I313" s="7" t="s">
        <v>35</v>
      </c>
      <c r="J313" s="7">
        <v>0</v>
      </c>
      <c r="K313" s="7">
        <v>1</v>
      </c>
      <c r="L313" s="7">
        <v>-23.1</v>
      </c>
      <c r="M313" t="str">
        <f t="shared" si="4"/>
        <v>medium risk</v>
      </c>
    </row>
    <row r="314" spans="1:13">
      <c r="A314" s="7" t="s">
        <v>521</v>
      </c>
      <c r="B314" s="9" t="s">
        <v>522</v>
      </c>
      <c r="C314" s="7">
        <v>2018</v>
      </c>
      <c r="D314" s="7" t="s">
        <v>22</v>
      </c>
      <c r="E314" s="7" t="s">
        <v>29</v>
      </c>
      <c r="F314" s="7" t="s">
        <v>41</v>
      </c>
      <c r="G314" s="7">
        <v>1272</v>
      </c>
      <c r="H314" s="7">
        <v>38</v>
      </c>
      <c r="I314" s="7" t="s">
        <v>25</v>
      </c>
      <c r="J314" s="7">
        <v>1</v>
      </c>
      <c r="K314" s="7">
        <v>0</v>
      </c>
      <c r="L314" s="7">
        <v>10.1</v>
      </c>
      <c r="M314" t="str">
        <f t="shared" si="4"/>
        <v>medium risk</v>
      </c>
    </row>
    <row r="315" spans="1:13">
      <c r="A315" s="7" t="s">
        <v>523</v>
      </c>
      <c r="B315" s="9" t="s">
        <v>524</v>
      </c>
      <c r="C315" s="7">
        <v>2018</v>
      </c>
      <c r="D315" s="7" t="s">
        <v>174</v>
      </c>
      <c r="E315" s="7" t="s">
        <v>38</v>
      </c>
      <c r="F315" s="7" t="s">
        <v>41</v>
      </c>
      <c r="G315" s="7">
        <v>1677</v>
      </c>
      <c r="H315" s="7">
        <v>27</v>
      </c>
      <c r="I315" s="7" t="s">
        <v>25</v>
      </c>
      <c r="J315" s="7">
        <v>1</v>
      </c>
      <c r="K315" s="7">
        <v>0</v>
      </c>
      <c r="L315" s="7">
        <v>16.2</v>
      </c>
      <c r="M315" t="str">
        <f t="shared" si="4"/>
        <v>medium risk</v>
      </c>
    </row>
    <row r="316" spans="1:13">
      <c r="A316" s="7" t="s">
        <v>525</v>
      </c>
      <c r="B316" s="9">
        <v>43139</v>
      </c>
      <c r="C316" s="7">
        <v>2018</v>
      </c>
      <c r="D316" s="7" t="s">
        <v>68</v>
      </c>
      <c r="E316" s="7" t="s">
        <v>76</v>
      </c>
      <c r="F316" s="7" t="s">
        <v>24</v>
      </c>
      <c r="G316" s="7">
        <v>330</v>
      </c>
      <c r="H316" s="7">
        <v>18</v>
      </c>
      <c r="I316" s="7" t="s">
        <v>30</v>
      </c>
      <c r="J316" s="7">
        <v>0</v>
      </c>
      <c r="K316" s="7">
        <v>0</v>
      </c>
      <c r="L316" s="7">
        <v>-8.8000000000000007</v>
      </c>
      <c r="M316" t="str">
        <f t="shared" si="4"/>
        <v>low risk</v>
      </c>
    </row>
    <row r="317" spans="1:13">
      <c r="A317" s="7" t="s">
        <v>526</v>
      </c>
      <c r="B317" s="9">
        <v>43167</v>
      </c>
      <c r="C317" s="7">
        <v>2018</v>
      </c>
      <c r="D317" s="7" t="s">
        <v>107</v>
      </c>
      <c r="E317" s="7" t="s">
        <v>34</v>
      </c>
      <c r="F317" s="7" t="s">
        <v>41</v>
      </c>
      <c r="G317" s="7">
        <v>975</v>
      </c>
      <c r="H317" s="7">
        <v>35</v>
      </c>
      <c r="I317" s="7" t="s">
        <v>35</v>
      </c>
      <c r="J317" s="7">
        <v>0</v>
      </c>
      <c r="K317" s="7">
        <v>1</v>
      </c>
      <c r="L317" s="7">
        <v>-4.4000000000000004</v>
      </c>
      <c r="M317" t="str">
        <f t="shared" si="4"/>
        <v>medium risk</v>
      </c>
    </row>
    <row r="318" spans="1:13">
      <c r="A318" s="7" t="s">
        <v>527</v>
      </c>
      <c r="B318" s="9">
        <v>43198</v>
      </c>
      <c r="C318" s="7">
        <v>2018</v>
      </c>
      <c r="D318" s="7" t="s">
        <v>68</v>
      </c>
      <c r="E318" s="7" t="s">
        <v>78</v>
      </c>
      <c r="F318" s="7" t="s">
        <v>24</v>
      </c>
      <c r="G318" s="7">
        <v>343</v>
      </c>
      <c r="H318" s="7">
        <v>22</v>
      </c>
      <c r="I318" s="7" t="s">
        <v>25</v>
      </c>
      <c r="J318" s="7">
        <v>1</v>
      </c>
      <c r="K318" s="7">
        <v>0</v>
      </c>
      <c r="L318" s="7">
        <v>13.2</v>
      </c>
      <c r="M318" t="str">
        <f t="shared" si="4"/>
        <v>low risk</v>
      </c>
    </row>
    <row r="319" spans="1:13">
      <c r="A319" s="7" t="s">
        <v>528</v>
      </c>
      <c r="B319" s="9">
        <v>43259</v>
      </c>
      <c r="C319" s="7">
        <v>2018</v>
      </c>
      <c r="D319" s="7" t="s">
        <v>46</v>
      </c>
      <c r="E319" s="7" t="s">
        <v>34</v>
      </c>
      <c r="F319" s="7" t="s">
        <v>24</v>
      </c>
      <c r="G319" s="7">
        <v>542</v>
      </c>
      <c r="H319" s="7">
        <v>18</v>
      </c>
      <c r="I319" s="7" t="s">
        <v>30</v>
      </c>
      <c r="J319" s="7">
        <v>0</v>
      </c>
      <c r="K319" s="7">
        <v>0</v>
      </c>
      <c r="L319" s="7">
        <v>-6.3</v>
      </c>
      <c r="M319" t="str">
        <f t="shared" si="4"/>
        <v>medium risk</v>
      </c>
    </row>
    <row r="320" spans="1:13">
      <c r="A320" s="7" t="s">
        <v>529</v>
      </c>
      <c r="B320" s="9">
        <v>43412</v>
      </c>
      <c r="C320" s="7">
        <v>2018</v>
      </c>
      <c r="D320" s="7" t="s">
        <v>112</v>
      </c>
      <c r="E320" s="7" t="s">
        <v>63</v>
      </c>
      <c r="F320" s="7" t="s">
        <v>41</v>
      </c>
      <c r="G320" s="7">
        <v>1696</v>
      </c>
      <c r="H320" s="7">
        <v>33</v>
      </c>
      <c r="I320" s="7" t="s">
        <v>25</v>
      </c>
      <c r="J320" s="7">
        <v>1</v>
      </c>
      <c r="K320" s="7">
        <v>0</v>
      </c>
      <c r="L320" s="7">
        <v>3.8</v>
      </c>
      <c r="M320" t="str">
        <f t="shared" si="4"/>
        <v>medium risk</v>
      </c>
    </row>
    <row r="321" spans="1:13">
      <c r="A321" s="7" t="s">
        <v>530</v>
      </c>
      <c r="B321" s="9" t="s">
        <v>531</v>
      </c>
      <c r="C321" s="7">
        <v>2018</v>
      </c>
      <c r="D321" s="7" t="s">
        <v>51</v>
      </c>
      <c r="E321" s="7" t="s">
        <v>23</v>
      </c>
      <c r="F321" s="7" t="s">
        <v>41</v>
      </c>
      <c r="G321" s="7">
        <v>434</v>
      </c>
      <c r="H321" s="7">
        <v>48</v>
      </c>
      <c r="I321" s="7" t="s">
        <v>35</v>
      </c>
      <c r="J321" s="7">
        <v>0</v>
      </c>
      <c r="K321" s="7">
        <v>1</v>
      </c>
      <c r="L321" s="7">
        <v>-36.9</v>
      </c>
      <c r="M321" t="str">
        <f t="shared" si="4"/>
        <v>low risk</v>
      </c>
    </row>
    <row r="322" spans="1:13">
      <c r="A322" s="7" t="s">
        <v>532</v>
      </c>
      <c r="B322" s="9">
        <v>43109</v>
      </c>
      <c r="C322" s="7">
        <v>2018</v>
      </c>
      <c r="D322" s="7" t="s">
        <v>194</v>
      </c>
      <c r="E322" s="7" t="s">
        <v>38</v>
      </c>
      <c r="F322" s="7" t="s">
        <v>24</v>
      </c>
      <c r="G322" s="7">
        <v>595</v>
      </c>
      <c r="H322" s="7">
        <v>25</v>
      </c>
      <c r="I322" s="7" t="s">
        <v>25</v>
      </c>
      <c r="J322" s="7">
        <v>1</v>
      </c>
      <c r="K322" s="7">
        <v>0</v>
      </c>
      <c r="L322" s="7">
        <v>7.9</v>
      </c>
      <c r="M322" t="str">
        <f t="shared" si="4"/>
        <v>medium risk</v>
      </c>
    </row>
    <row r="323" spans="1:13">
      <c r="A323" s="7" t="s">
        <v>533</v>
      </c>
      <c r="B323" s="9">
        <v>43199</v>
      </c>
      <c r="C323" s="7">
        <v>2018</v>
      </c>
      <c r="D323" s="7" t="s">
        <v>68</v>
      </c>
      <c r="E323" s="7" t="s">
        <v>34</v>
      </c>
      <c r="F323" s="7" t="s">
        <v>41</v>
      </c>
      <c r="G323" s="7">
        <v>1681</v>
      </c>
      <c r="H323" s="7">
        <v>42</v>
      </c>
      <c r="I323" s="7" t="s">
        <v>35</v>
      </c>
      <c r="J323" s="7">
        <v>0</v>
      </c>
      <c r="K323" s="7">
        <v>1</v>
      </c>
      <c r="L323" s="7">
        <v>-32.299999999999997</v>
      </c>
      <c r="M323" t="str">
        <f t="shared" ref="M323:M386" si="5">IF(G323&gt;2000,"high risk",IF(G323&gt;500,"medium risk","low risk"))</f>
        <v>medium risk</v>
      </c>
    </row>
    <row r="324" spans="1:13">
      <c r="A324" s="7" t="s">
        <v>534</v>
      </c>
      <c r="B324" s="9" t="s">
        <v>535</v>
      </c>
      <c r="C324" s="7">
        <v>2018</v>
      </c>
      <c r="D324" s="7" t="s">
        <v>156</v>
      </c>
      <c r="E324" s="7" t="s">
        <v>34</v>
      </c>
      <c r="F324" s="7" t="s">
        <v>24</v>
      </c>
      <c r="G324" s="7">
        <v>132</v>
      </c>
      <c r="H324" s="7">
        <v>12</v>
      </c>
      <c r="I324" s="7" t="s">
        <v>25</v>
      </c>
      <c r="J324" s="7">
        <v>1</v>
      </c>
      <c r="K324" s="7">
        <v>0</v>
      </c>
      <c r="L324" s="7">
        <v>8.6999999999999993</v>
      </c>
      <c r="M324" t="str">
        <f t="shared" si="5"/>
        <v>low risk</v>
      </c>
    </row>
    <row r="325" spans="1:13">
      <c r="A325" s="7" t="s">
        <v>536</v>
      </c>
      <c r="B325" s="9">
        <v>43200</v>
      </c>
      <c r="C325" s="7">
        <v>2018</v>
      </c>
      <c r="D325" s="7" t="s">
        <v>144</v>
      </c>
      <c r="E325" s="7" t="s">
        <v>34</v>
      </c>
      <c r="F325" s="7" t="s">
        <v>24</v>
      </c>
      <c r="G325" s="7">
        <v>373</v>
      </c>
      <c r="H325" s="7">
        <v>24</v>
      </c>
      <c r="I325" s="7" t="s">
        <v>35</v>
      </c>
      <c r="J325" s="7">
        <v>0</v>
      </c>
      <c r="K325" s="7">
        <v>1</v>
      </c>
      <c r="L325" s="7">
        <v>-20.3</v>
      </c>
      <c r="M325" t="str">
        <f t="shared" si="5"/>
        <v>low risk</v>
      </c>
    </row>
    <row r="326" spans="1:13">
      <c r="A326" s="7" t="s">
        <v>537</v>
      </c>
      <c r="B326" s="9" t="s">
        <v>538</v>
      </c>
      <c r="C326" s="7">
        <v>2018</v>
      </c>
      <c r="D326" s="7" t="s">
        <v>101</v>
      </c>
      <c r="E326" s="7" t="s">
        <v>76</v>
      </c>
      <c r="F326" s="7" t="s">
        <v>24</v>
      </c>
      <c r="G326" s="7">
        <v>359</v>
      </c>
      <c r="H326" s="7">
        <v>17</v>
      </c>
      <c r="I326" s="7" t="s">
        <v>35</v>
      </c>
      <c r="J326" s="7">
        <v>0</v>
      </c>
      <c r="K326" s="7">
        <v>1</v>
      </c>
      <c r="L326" s="7">
        <v>-9.1</v>
      </c>
      <c r="M326" t="str">
        <f t="shared" si="5"/>
        <v>low risk</v>
      </c>
    </row>
    <row r="327" spans="1:13">
      <c r="A327" s="7" t="s">
        <v>539</v>
      </c>
      <c r="B327" s="9" t="s">
        <v>540</v>
      </c>
      <c r="C327" s="7">
        <v>2018</v>
      </c>
      <c r="D327" s="7" t="s">
        <v>46</v>
      </c>
      <c r="E327" s="7" t="s">
        <v>34</v>
      </c>
      <c r="F327" s="7" t="s">
        <v>41</v>
      </c>
      <c r="G327" s="7">
        <v>413</v>
      </c>
      <c r="H327" s="7">
        <v>35</v>
      </c>
      <c r="I327" s="7" t="s">
        <v>35</v>
      </c>
      <c r="J327" s="7">
        <v>0</v>
      </c>
      <c r="K327" s="7">
        <v>1</v>
      </c>
      <c r="L327" s="7">
        <v>-6.6</v>
      </c>
      <c r="M327" t="str">
        <f t="shared" si="5"/>
        <v>low risk</v>
      </c>
    </row>
    <row r="328" spans="1:13">
      <c r="A328" s="7" t="s">
        <v>541</v>
      </c>
      <c r="B328" s="9" t="s">
        <v>542</v>
      </c>
      <c r="C328" s="7">
        <v>2018</v>
      </c>
      <c r="D328" s="7" t="s">
        <v>66</v>
      </c>
      <c r="E328" s="7" t="s">
        <v>47</v>
      </c>
      <c r="F328" s="7" t="s">
        <v>41</v>
      </c>
      <c r="G328" s="7">
        <v>2041</v>
      </c>
      <c r="H328" s="7">
        <v>39</v>
      </c>
      <c r="I328" s="7" t="s">
        <v>25</v>
      </c>
      <c r="J328" s="7">
        <v>1</v>
      </c>
      <c r="K328" s="7">
        <v>0</v>
      </c>
      <c r="L328" s="7">
        <v>7.7</v>
      </c>
      <c r="M328" t="str">
        <f t="shared" si="5"/>
        <v>high risk</v>
      </c>
    </row>
    <row r="329" spans="1:13">
      <c r="A329" s="7" t="s">
        <v>543</v>
      </c>
      <c r="B329" s="9" t="s">
        <v>544</v>
      </c>
      <c r="C329" s="7">
        <v>2018</v>
      </c>
      <c r="D329" s="7" t="s">
        <v>37</v>
      </c>
      <c r="E329" s="7" t="s">
        <v>23</v>
      </c>
      <c r="F329" s="7" t="s">
        <v>41</v>
      </c>
      <c r="G329" s="7">
        <v>239</v>
      </c>
      <c r="H329" s="7">
        <v>39</v>
      </c>
      <c r="I329" s="7" t="s">
        <v>25</v>
      </c>
      <c r="J329" s="7">
        <v>1</v>
      </c>
      <c r="K329" s="7">
        <v>0</v>
      </c>
      <c r="L329" s="7">
        <v>2.4</v>
      </c>
      <c r="M329" t="str">
        <f t="shared" si="5"/>
        <v>low risk</v>
      </c>
    </row>
    <row r="330" spans="1:13">
      <c r="A330" s="7" t="s">
        <v>545</v>
      </c>
      <c r="B330" s="9" t="s">
        <v>546</v>
      </c>
      <c r="C330" s="7">
        <v>2018</v>
      </c>
      <c r="D330" s="7" t="s">
        <v>107</v>
      </c>
      <c r="E330" s="7" t="s">
        <v>34</v>
      </c>
      <c r="F330" s="7" t="s">
        <v>24</v>
      </c>
      <c r="G330" s="7">
        <v>96</v>
      </c>
      <c r="H330" s="7">
        <v>18</v>
      </c>
      <c r="I330" s="7" t="s">
        <v>25</v>
      </c>
      <c r="J330" s="7">
        <v>1</v>
      </c>
      <c r="K330" s="7">
        <v>0</v>
      </c>
      <c r="L330" s="7">
        <v>9</v>
      </c>
      <c r="M330" t="str">
        <f t="shared" si="5"/>
        <v>low risk</v>
      </c>
    </row>
    <row r="331" spans="1:13">
      <c r="A331" s="7" t="s">
        <v>547</v>
      </c>
      <c r="B331" s="9" t="s">
        <v>548</v>
      </c>
      <c r="C331" s="7">
        <v>2018</v>
      </c>
      <c r="D331" s="7" t="s">
        <v>33</v>
      </c>
      <c r="E331" s="7" t="s">
        <v>29</v>
      </c>
      <c r="F331" s="7" t="s">
        <v>41</v>
      </c>
      <c r="G331" s="7">
        <v>745</v>
      </c>
      <c r="H331" s="7">
        <v>51</v>
      </c>
      <c r="I331" s="7" t="s">
        <v>25</v>
      </c>
      <c r="J331" s="7">
        <v>1</v>
      </c>
      <c r="K331" s="7">
        <v>0</v>
      </c>
      <c r="L331" s="7">
        <v>8.6999999999999993</v>
      </c>
      <c r="M331" t="str">
        <f t="shared" si="5"/>
        <v>medium risk</v>
      </c>
    </row>
    <row r="332" spans="1:13">
      <c r="A332" s="7" t="s">
        <v>549</v>
      </c>
      <c r="B332" s="9" t="s">
        <v>550</v>
      </c>
      <c r="C332" s="7">
        <v>2018</v>
      </c>
      <c r="D332" s="7" t="s">
        <v>156</v>
      </c>
      <c r="E332" s="7" t="s">
        <v>38</v>
      </c>
      <c r="F332" s="7" t="s">
        <v>24</v>
      </c>
      <c r="G332" s="7">
        <v>205</v>
      </c>
      <c r="H332" s="7">
        <v>8</v>
      </c>
      <c r="I332" s="7" t="s">
        <v>25</v>
      </c>
      <c r="J332" s="7">
        <v>1</v>
      </c>
      <c r="K332" s="7">
        <v>0</v>
      </c>
      <c r="L332" s="7">
        <v>-0.4</v>
      </c>
      <c r="M332" t="str">
        <f t="shared" si="5"/>
        <v>low risk</v>
      </c>
    </row>
    <row r="333" spans="1:13">
      <c r="A333" s="7" t="s">
        <v>551</v>
      </c>
      <c r="B333" s="9">
        <v>43112</v>
      </c>
      <c r="C333" s="7">
        <v>2018</v>
      </c>
      <c r="D333" s="7" t="s">
        <v>22</v>
      </c>
      <c r="E333" s="7" t="s">
        <v>63</v>
      </c>
      <c r="F333" s="7" t="s">
        <v>24</v>
      </c>
      <c r="G333" s="7">
        <v>295</v>
      </c>
      <c r="H333" s="7">
        <v>23</v>
      </c>
      <c r="I333" s="7" t="s">
        <v>35</v>
      </c>
      <c r="J333" s="7">
        <v>0</v>
      </c>
      <c r="K333" s="7">
        <v>1</v>
      </c>
      <c r="L333" s="7">
        <v>-5</v>
      </c>
      <c r="M333" t="str">
        <f t="shared" si="5"/>
        <v>low risk</v>
      </c>
    </row>
    <row r="334" spans="1:13">
      <c r="A334" s="7" t="s">
        <v>552</v>
      </c>
      <c r="B334" s="9">
        <v>43416</v>
      </c>
      <c r="C334" s="7">
        <v>2018</v>
      </c>
      <c r="D334" s="7" t="s">
        <v>144</v>
      </c>
      <c r="E334" s="7" t="s">
        <v>76</v>
      </c>
      <c r="F334" s="7" t="s">
        <v>41</v>
      </c>
      <c r="G334" s="7">
        <v>410</v>
      </c>
      <c r="H334" s="7">
        <v>41</v>
      </c>
      <c r="I334" s="7" t="s">
        <v>25</v>
      </c>
      <c r="J334" s="7">
        <v>1</v>
      </c>
      <c r="K334" s="7">
        <v>0</v>
      </c>
      <c r="L334" s="7">
        <v>5.3</v>
      </c>
      <c r="M334" t="str">
        <f t="shared" si="5"/>
        <v>low risk</v>
      </c>
    </row>
    <row r="335" spans="1:13">
      <c r="A335" s="7" t="s">
        <v>553</v>
      </c>
      <c r="B335" s="9">
        <v>43416</v>
      </c>
      <c r="C335" s="7">
        <v>2018</v>
      </c>
      <c r="D335" s="7" t="s">
        <v>96</v>
      </c>
      <c r="E335" s="7" t="s">
        <v>63</v>
      </c>
      <c r="F335" s="7" t="s">
        <v>41</v>
      </c>
      <c r="G335" s="7">
        <v>1588</v>
      </c>
      <c r="H335" s="7">
        <v>50</v>
      </c>
      <c r="I335" s="7" t="s">
        <v>25</v>
      </c>
      <c r="J335" s="7">
        <v>1</v>
      </c>
      <c r="K335" s="7">
        <v>0</v>
      </c>
      <c r="L335" s="7">
        <v>15.1</v>
      </c>
      <c r="M335" t="str">
        <f t="shared" si="5"/>
        <v>medium risk</v>
      </c>
    </row>
    <row r="336" spans="1:13">
      <c r="A336" s="7" t="s">
        <v>554</v>
      </c>
      <c r="B336" s="9" t="s">
        <v>555</v>
      </c>
      <c r="C336" s="7">
        <v>2018</v>
      </c>
      <c r="D336" s="7" t="s">
        <v>28</v>
      </c>
      <c r="E336" s="7" t="s">
        <v>38</v>
      </c>
      <c r="F336" s="7" t="s">
        <v>41</v>
      </c>
      <c r="G336" s="7">
        <v>524</v>
      </c>
      <c r="H336" s="7">
        <v>35</v>
      </c>
      <c r="I336" s="7" t="s">
        <v>25</v>
      </c>
      <c r="J336" s="7">
        <v>1</v>
      </c>
      <c r="K336" s="7">
        <v>0</v>
      </c>
      <c r="L336" s="7">
        <v>6.2</v>
      </c>
      <c r="M336" t="str">
        <f t="shared" si="5"/>
        <v>medium risk</v>
      </c>
    </row>
    <row r="337" spans="1:13">
      <c r="A337" s="7" t="s">
        <v>556</v>
      </c>
      <c r="B337" s="9">
        <v>43525</v>
      </c>
      <c r="C337" s="7">
        <v>2019</v>
      </c>
      <c r="D337" s="7" t="s">
        <v>156</v>
      </c>
      <c r="E337" s="7" t="s">
        <v>76</v>
      </c>
      <c r="F337" s="7" t="s">
        <v>24</v>
      </c>
      <c r="G337" s="7">
        <v>96</v>
      </c>
      <c r="H337" s="7">
        <v>22</v>
      </c>
      <c r="I337" s="7" t="s">
        <v>25</v>
      </c>
      <c r="J337" s="7">
        <v>1</v>
      </c>
      <c r="K337" s="7">
        <v>0</v>
      </c>
      <c r="L337" s="7">
        <v>7.3</v>
      </c>
      <c r="M337" t="str">
        <f t="shared" si="5"/>
        <v>low risk</v>
      </c>
    </row>
    <row r="338" spans="1:13">
      <c r="A338" s="7" t="s">
        <v>557</v>
      </c>
      <c r="B338" s="9" t="s">
        <v>558</v>
      </c>
      <c r="C338" s="7">
        <v>2019</v>
      </c>
      <c r="D338" s="7" t="s">
        <v>33</v>
      </c>
      <c r="E338" s="7" t="s">
        <v>34</v>
      </c>
      <c r="F338" s="7" t="s">
        <v>24</v>
      </c>
      <c r="G338" s="7">
        <v>438</v>
      </c>
      <c r="H338" s="7">
        <v>17</v>
      </c>
      <c r="I338" s="7" t="s">
        <v>25</v>
      </c>
      <c r="J338" s="7">
        <v>1</v>
      </c>
      <c r="K338" s="7">
        <v>0</v>
      </c>
      <c r="L338" s="7">
        <v>7.6</v>
      </c>
      <c r="M338" t="str">
        <f t="shared" si="5"/>
        <v>low risk</v>
      </c>
    </row>
    <row r="339" spans="1:13">
      <c r="A339" s="7" t="s">
        <v>559</v>
      </c>
      <c r="B339" s="9">
        <v>43679</v>
      </c>
      <c r="C339" s="7">
        <v>2019</v>
      </c>
      <c r="D339" s="7" t="s">
        <v>75</v>
      </c>
      <c r="E339" s="7" t="s">
        <v>34</v>
      </c>
      <c r="F339" s="7" t="s">
        <v>41</v>
      </c>
      <c r="G339" s="7">
        <v>908</v>
      </c>
      <c r="H339" s="7">
        <v>40</v>
      </c>
      <c r="I339" s="7" t="s">
        <v>25</v>
      </c>
      <c r="J339" s="7">
        <v>1</v>
      </c>
      <c r="K339" s="7">
        <v>0</v>
      </c>
      <c r="L339" s="7">
        <v>3</v>
      </c>
      <c r="M339" t="str">
        <f t="shared" si="5"/>
        <v>medium risk</v>
      </c>
    </row>
    <row r="340" spans="1:13">
      <c r="A340" s="7" t="s">
        <v>560</v>
      </c>
      <c r="B340" s="9">
        <v>43771</v>
      </c>
      <c r="C340" s="7">
        <v>2019</v>
      </c>
      <c r="D340" s="7" t="s">
        <v>115</v>
      </c>
      <c r="E340" s="7" t="s">
        <v>38</v>
      </c>
      <c r="F340" s="7" t="s">
        <v>24</v>
      </c>
      <c r="G340" s="7">
        <v>128</v>
      </c>
      <c r="H340" s="7">
        <v>17</v>
      </c>
      <c r="I340" s="7" t="s">
        <v>25</v>
      </c>
      <c r="J340" s="7">
        <v>1</v>
      </c>
      <c r="K340" s="7">
        <v>0</v>
      </c>
      <c r="L340" s="7">
        <v>12.9</v>
      </c>
      <c r="M340" t="str">
        <f t="shared" si="5"/>
        <v>low risk</v>
      </c>
    </row>
    <row r="341" spans="1:13">
      <c r="A341" s="7" t="s">
        <v>561</v>
      </c>
      <c r="B341" s="9" t="s">
        <v>562</v>
      </c>
      <c r="C341" s="7">
        <v>2019</v>
      </c>
      <c r="D341" s="7" t="s">
        <v>194</v>
      </c>
      <c r="E341" s="7" t="s">
        <v>34</v>
      </c>
      <c r="F341" s="7" t="s">
        <v>41</v>
      </c>
      <c r="G341" s="7">
        <v>853</v>
      </c>
      <c r="H341" s="7">
        <v>37</v>
      </c>
      <c r="I341" s="7" t="s">
        <v>35</v>
      </c>
      <c r="J341" s="7">
        <v>0</v>
      </c>
      <c r="K341" s="7">
        <v>1</v>
      </c>
      <c r="L341" s="7">
        <v>0.7</v>
      </c>
      <c r="M341" t="str">
        <f t="shared" si="5"/>
        <v>medium risk</v>
      </c>
    </row>
    <row r="342" spans="1:13">
      <c r="A342" s="7" t="s">
        <v>563</v>
      </c>
      <c r="B342" s="9">
        <v>43619</v>
      </c>
      <c r="C342" s="7">
        <v>2019</v>
      </c>
      <c r="D342" s="7" t="s">
        <v>44</v>
      </c>
      <c r="E342" s="7" t="s">
        <v>47</v>
      </c>
      <c r="F342" s="7" t="s">
        <v>24</v>
      </c>
      <c r="G342" s="7">
        <v>109</v>
      </c>
      <c r="H342" s="7">
        <v>20</v>
      </c>
      <c r="I342" s="7" t="s">
        <v>25</v>
      </c>
      <c r="J342" s="7">
        <v>1</v>
      </c>
      <c r="K342" s="7">
        <v>0</v>
      </c>
      <c r="L342" s="7">
        <v>9.1999999999999993</v>
      </c>
      <c r="M342" t="str">
        <f t="shared" si="5"/>
        <v>low risk</v>
      </c>
    </row>
    <row r="343" spans="1:13">
      <c r="A343" s="7" t="s">
        <v>564</v>
      </c>
      <c r="B343" s="9" t="s">
        <v>565</v>
      </c>
      <c r="C343" s="7">
        <v>2019</v>
      </c>
      <c r="D343" s="7" t="s">
        <v>51</v>
      </c>
      <c r="E343" s="7" t="s">
        <v>54</v>
      </c>
      <c r="F343" s="7" t="s">
        <v>24</v>
      </c>
      <c r="G343" s="7">
        <v>180</v>
      </c>
      <c r="H343" s="7">
        <v>20</v>
      </c>
      <c r="I343" s="7" t="s">
        <v>25</v>
      </c>
      <c r="J343" s="7">
        <v>1</v>
      </c>
      <c r="K343" s="7">
        <v>0</v>
      </c>
      <c r="L343" s="7">
        <v>4</v>
      </c>
      <c r="M343" t="str">
        <f t="shared" si="5"/>
        <v>low risk</v>
      </c>
    </row>
    <row r="344" spans="1:13">
      <c r="A344" s="7" t="s">
        <v>566</v>
      </c>
      <c r="B344" s="9">
        <v>43528</v>
      </c>
      <c r="C344" s="7">
        <v>2019</v>
      </c>
      <c r="D344" s="7" t="s">
        <v>101</v>
      </c>
      <c r="E344" s="7" t="s">
        <v>83</v>
      </c>
      <c r="F344" s="7" t="s">
        <v>41</v>
      </c>
      <c r="G344" s="7">
        <v>1502</v>
      </c>
      <c r="H344" s="7">
        <v>28</v>
      </c>
      <c r="I344" s="7" t="s">
        <v>25</v>
      </c>
      <c r="J344" s="7">
        <v>1</v>
      </c>
      <c r="K344" s="7">
        <v>0</v>
      </c>
      <c r="L344" s="7">
        <v>12.2</v>
      </c>
      <c r="M344" t="str">
        <f t="shared" si="5"/>
        <v>medium risk</v>
      </c>
    </row>
    <row r="345" spans="1:13">
      <c r="A345" s="7" t="s">
        <v>567</v>
      </c>
      <c r="B345" s="9">
        <v>43559</v>
      </c>
      <c r="C345" s="7">
        <v>2019</v>
      </c>
      <c r="D345" s="7" t="s">
        <v>33</v>
      </c>
      <c r="E345" s="7" t="s">
        <v>23</v>
      </c>
      <c r="F345" s="7" t="s">
        <v>41</v>
      </c>
      <c r="G345" s="7">
        <v>1467</v>
      </c>
      <c r="H345" s="7">
        <v>28</v>
      </c>
      <c r="I345" s="7" t="s">
        <v>35</v>
      </c>
      <c r="J345" s="7">
        <v>0</v>
      </c>
      <c r="K345" s="7">
        <v>1</v>
      </c>
      <c r="L345" s="7">
        <v>-16</v>
      </c>
      <c r="M345" t="str">
        <f t="shared" si="5"/>
        <v>medium risk</v>
      </c>
    </row>
    <row r="346" spans="1:13">
      <c r="A346" s="7" t="s">
        <v>568</v>
      </c>
      <c r="B346" s="9">
        <v>43560</v>
      </c>
      <c r="C346" s="7">
        <v>2019</v>
      </c>
      <c r="D346" s="7" t="s">
        <v>101</v>
      </c>
      <c r="E346" s="7" t="s">
        <v>76</v>
      </c>
      <c r="F346" s="7" t="s">
        <v>24</v>
      </c>
      <c r="G346" s="7">
        <v>196</v>
      </c>
      <c r="H346" s="7">
        <v>24</v>
      </c>
      <c r="I346" s="7" t="s">
        <v>25</v>
      </c>
      <c r="J346" s="7">
        <v>1</v>
      </c>
      <c r="K346" s="7">
        <v>0</v>
      </c>
      <c r="L346" s="7">
        <v>5.4</v>
      </c>
      <c r="M346" t="str">
        <f t="shared" si="5"/>
        <v>low risk</v>
      </c>
    </row>
    <row r="347" spans="1:13">
      <c r="A347" s="7" t="s">
        <v>569</v>
      </c>
      <c r="B347" s="9" t="s">
        <v>570</v>
      </c>
      <c r="C347" s="7">
        <v>2019</v>
      </c>
      <c r="D347" s="7" t="s">
        <v>174</v>
      </c>
      <c r="E347" s="7" t="s">
        <v>34</v>
      </c>
      <c r="F347" s="7" t="s">
        <v>41</v>
      </c>
      <c r="G347" s="7">
        <v>1598</v>
      </c>
      <c r="H347" s="7">
        <v>32</v>
      </c>
      <c r="I347" s="7" t="s">
        <v>35</v>
      </c>
      <c r="J347" s="7">
        <v>0</v>
      </c>
      <c r="K347" s="7">
        <v>1</v>
      </c>
      <c r="L347" s="7">
        <v>-29.1</v>
      </c>
      <c r="M347" t="str">
        <f t="shared" si="5"/>
        <v>medium risk</v>
      </c>
    </row>
    <row r="348" spans="1:13">
      <c r="A348" s="7" t="s">
        <v>571</v>
      </c>
      <c r="B348" s="9" t="s">
        <v>572</v>
      </c>
      <c r="C348" s="7">
        <v>2019</v>
      </c>
      <c r="D348" s="7" t="s">
        <v>44</v>
      </c>
      <c r="E348" s="7" t="s">
        <v>76</v>
      </c>
      <c r="F348" s="7" t="s">
        <v>41</v>
      </c>
      <c r="G348" s="7">
        <v>1693</v>
      </c>
      <c r="H348" s="7">
        <v>41</v>
      </c>
      <c r="I348" s="7" t="s">
        <v>35</v>
      </c>
      <c r="J348" s="7">
        <v>0</v>
      </c>
      <c r="K348" s="7">
        <v>1</v>
      </c>
      <c r="L348" s="7">
        <v>-16.8</v>
      </c>
      <c r="M348" t="str">
        <f t="shared" si="5"/>
        <v>medium risk</v>
      </c>
    </row>
    <row r="349" spans="1:13">
      <c r="A349" s="7" t="s">
        <v>573</v>
      </c>
      <c r="B349" s="9">
        <v>43715</v>
      </c>
      <c r="C349" s="7">
        <v>2019</v>
      </c>
      <c r="D349" s="7" t="s">
        <v>107</v>
      </c>
      <c r="E349" s="7" t="s">
        <v>34</v>
      </c>
      <c r="F349" s="7" t="s">
        <v>24</v>
      </c>
      <c r="G349" s="7">
        <v>223</v>
      </c>
      <c r="H349" s="7">
        <v>13</v>
      </c>
      <c r="I349" s="7" t="s">
        <v>25</v>
      </c>
      <c r="J349" s="7">
        <v>1</v>
      </c>
      <c r="K349" s="7">
        <v>0</v>
      </c>
      <c r="L349" s="7">
        <v>10</v>
      </c>
      <c r="M349" t="str">
        <f t="shared" si="5"/>
        <v>low risk</v>
      </c>
    </row>
    <row r="350" spans="1:13">
      <c r="A350" s="7" t="s">
        <v>574</v>
      </c>
      <c r="B350" s="9">
        <v>43745</v>
      </c>
      <c r="C350" s="7">
        <v>2019</v>
      </c>
      <c r="D350" s="7" t="s">
        <v>75</v>
      </c>
      <c r="E350" s="7" t="s">
        <v>38</v>
      </c>
      <c r="F350" s="7" t="s">
        <v>24</v>
      </c>
      <c r="G350" s="7">
        <v>265</v>
      </c>
      <c r="H350" s="7">
        <v>10</v>
      </c>
      <c r="I350" s="7" t="s">
        <v>25</v>
      </c>
      <c r="J350" s="7">
        <v>1</v>
      </c>
      <c r="K350" s="7">
        <v>0</v>
      </c>
      <c r="L350" s="7">
        <v>4.8</v>
      </c>
      <c r="M350" t="str">
        <f t="shared" si="5"/>
        <v>low risk</v>
      </c>
    </row>
    <row r="351" spans="1:13">
      <c r="A351" s="7" t="s">
        <v>575</v>
      </c>
      <c r="B351" s="9">
        <v>43806</v>
      </c>
      <c r="C351" s="7">
        <v>2019</v>
      </c>
      <c r="D351" s="7" t="s">
        <v>101</v>
      </c>
      <c r="E351" s="7" t="s">
        <v>47</v>
      </c>
      <c r="F351" s="7" t="s">
        <v>41</v>
      </c>
      <c r="G351" s="7">
        <v>1088</v>
      </c>
      <c r="H351" s="7">
        <v>32</v>
      </c>
      <c r="I351" s="7" t="s">
        <v>30</v>
      </c>
      <c r="J351" s="7">
        <v>0</v>
      </c>
      <c r="K351" s="7">
        <v>0</v>
      </c>
      <c r="L351" s="7">
        <v>-2</v>
      </c>
      <c r="M351" t="str">
        <f t="shared" si="5"/>
        <v>medium risk</v>
      </c>
    </row>
    <row r="352" spans="1:13">
      <c r="A352" s="7" t="s">
        <v>576</v>
      </c>
      <c r="B352" s="9" t="s">
        <v>577</v>
      </c>
      <c r="C352" s="7">
        <v>2019</v>
      </c>
      <c r="D352" s="7" t="s">
        <v>75</v>
      </c>
      <c r="E352" s="7" t="s">
        <v>34</v>
      </c>
      <c r="F352" s="7" t="s">
        <v>24</v>
      </c>
      <c r="G352" s="7">
        <v>225</v>
      </c>
      <c r="H352" s="7">
        <v>16</v>
      </c>
      <c r="I352" s="7" t="s">
        <v>30</v>
      </c>
      <c r="J352" s="7">
        <v>0</v>
      </c>
      <c r="K352" s="7">
        <v>0</v>
      </c>
      <c r="L352" s="7">
        <v>-2.7</v>
      </c>
      <c r="M352" t="str">
        <f t="shared" si="5"/>
        <v>low risk</v>
      </c>
    </row>
    <row r="353" spans="1:13">
      <c r="A353" s="7" t="s">
        <v>578</v>
      </c>
      <c r="B353" s="9">
        <v>43504</v>
      </c>
      <c r="C353" s="7">
        <v>2019</v>
      </c>
      <c r="D353" s="7" t="s">
        <v>51</v>
      </c>
      <c r="E353" s="7" t="s">
        <v>23</v>
      </c>
      <c r="F353" s="7" t="s">
        <v>24</v>
      </c>
      <c r="G353" s="7">
        <v>341</v>
      </c>
      <c r="H353" s="7">
        <v>20</v>
      </c>
      <c r="I353" s="7" t="s">
        <v>30</v>
      </c>
      <c r="J353" s="7">
        <v>0</v>
      </c>
      <c r="K353" s="7">
        <v>0</v>
      </c>
      <c r="L353" s="7">
        <v>-4.4000000000000004</v>
      </c>
      <c r="M353" t="str">
        <f t="shared" si="5"/>
        <v>low risk</v>
      </c>
    </row>
    <row r="354" spans="1:13">
      <c r="A354" s="7" t="s">
        <v>579</v>
      </c>
      <c r="B354" s="9">
        <v>43593</v>
      </c>
      <c r="C354" s="7">
        <v>2019</v>
      </c>
      <c r="D354" s="7" t="s">
        <v>112</v>
      </c>
      <c r="E354" s="7" t="s">
        <v>47</v>
      </c>
      <c r="F354" s="7" t="s">
        <v>41</v>
      </c>
      <c r="G354" s="7">
        <v>1236</v>
      </c>
      <c r="H354" s="7">
        <v>39</v>
      </c>
      <c r="I354" s="7" t="s">
        <v>25</v>
      </c>
      <c r="J354" s="7">
        <v>1</v>
      </c>
      <c r="K354" s="7">
        <v>0</v>
      </c>
      <c r="L354" s="7">
        <v>11.3</v>
      </c>
      <c r="M354" t="str">
        <f t="shared" si="5"/>
        <v>medium risk</v>
      </c>
    </row>
    <row r="355" spans="1:13">
      <c r="A355" s="7" t="s">
        <v>580</v>
      </c>
      <c r="B355" s="9">
        <v>43716</v>
      </c>
      <c r="C355" s="7">
        <v>2019</v>
      </c>
      <c r="D355" s="7" t="s">
        <v>46</v>
      </c>
      <c r="E355" s="7" t="s">
        <v>83</v>
      </c>
      <c r="F355" s="7" t="s">
        <v>41</v>
      </c>
      <c r="G355" s="7">
        <v>1001</v>
      </c>
      <c r="H355" s="7">
        <v>39</v>
      </c>
      <c r="I355" s="7" t="s">
        <v>35</v>
      </c>
      <c r="J355" s="7">
        <v>0</v>
      </c>
      <c r="K355" s="7">
        <v>1</v>
      </c>
      <c r="L355" s="7">
        <v>-15</v>
      </c>
      <c r="M355" t="str">
        <f t="shared" si="5"/>
        <v>medium risk</v>
      </c>
    </row>
    <row r="356" spans="1:13">
      <c r="A356" s="7" t="s">
        <v>581</v>
      </c>
      <c r="B356" s="9">
        <v>43533</v>
      </c>
      <c r="C356" s="7">
        <v>2019</v>
      </c>
      <c r="D356" s="7" t="s">
        <v>107</v>
      </c>
      <c r="E356" s="7" t="s">
        <v>34</v>
      </c>
      <c r="F356" s="7" t="s">
        <v>41</v>
      </c>
      <c r="G356" s="7">
        <v>584</v>
      </c>
      <c r="H356" s="7">
        <v>40</v>
      </c>
      <c r="I356" s="7" t="s">
        <v>25</v>
      </c>
      <c r="J356" s="7">
        <v>1</v>
      </c>
      <c r="K356" s="7">
        <v>0</v>
      </c>
      <c r="L356" s="7">
        <v>11.2</v>
      </c>
      <c r="M356" t="str">
        <f t="shared" si="5"/>
        <v>medium risk</v>
      </c>
    </row>
    <row r="357" spans="1:13">
      <c r="A357" s="7" t="s">
        <v>582</v>
      </c>
      <c r="B357" s="9">
        <v>43625</v>
      </c>
      <c r="C357" s="7">
        <v>2019</v>
      </c>
      <c r="D357" s="7" t="s">
        <v>58</v>
      </c>
      <c r="E357" s="7" t="s">
        <v>23</v>
      </c>
      <c r="F357" s="7" t="s">
        <v>41</v>
      </c>
      <c r="G357" s="7">
        <v>973</v>
      </c>
      <c r="H357" s="7">
        <v>32</v>
      </c>
      <c r="I357" s="7" t="s">
        <v>25</v>
      </c>
      <c r="J357" s="7">
        <v>1</v>
      </c>
      <c r="K357" s="7">
        <v>0</v>
      </c>
      <c r="L357" s="7">
        <v>8.1999999999999993</v>
      </c>
      <c r="M357" t="str">
        <f t="shared" si="5"/>
        <v>medium risk</v>
      </c>
    </row>
    <row r="358" spans="1:13">
      <c r="A358" s="7" t="s">
        <v>583</v>
      </c>
      <c r="B358" s="9" t="s">
        <v>584</v>
      </c>
      <c r="C358" s="7">
        <v>2019</v>
      </c>
      <c r="D358" s="7" t="s">
        <v>51</v>
      </c>
      <c r="E358" s="7" t="s">
        <v>47</v>
      </c>
      <c r="F358" s="7" t="s">
        <v>41</v>
      </c>
      <c r="G358" s="7">
        <v>1076</v>
      </c>
      <c r="H358" s="7">
        <v>29</v>
      </c>
      <c r="I358" s="7" t="s">
        <v>35</v>
      </c>
      <c r="J358" s="7">
        <v>0</v>
      </c>
      <c r="K358" s="7">
        <v>1</v>
      </c>
      <c r="L358" s="7">
        <v>-4.2</v>
      </c>
      <c r="M358" t="str">
        <f t="shared" si="5"/>
        <v>medium risk</v>
      </c>
    </row>
    <row r="359" spans="1:13">
      <c r="A359" s="7" t="s">
        <v>585</v>
      </c>
      <c r="B359" s="9" t="s">
        <v>586</v>
      </c>
      <c r="C359" s="7">
        <v>2019</v>
      </c>
      <c r="D359" s="7" t="s">
        <v>40</v>
      </c>
      <c r="E359" s="7" t="s">
        <v>78</v>
      </c>
      <c r="F359" s="7" t="s">
        <v>41</v>
      </c>
      <c r="G359" s="7">
        <v>1066</v>
      </c>
      <c r="H359" s="7">
        <v>36</v>
      </c>
      <c r="I359" s="7" t="s">
        <v>35</v>
      </c>
      <c r="J359" s="7">
        <v>0</v>
      </c>
      <c r="K359" s="7">
        <v>1</v>
      </c>
      <c r="L359" s="7">
        <v>-12.5</v>
      </c>
      <c r="M359" t="str">
        <f t="shared" si="5"/>
        <v>medium risk</v>
      </c>
    </row>
    <row r="360" spans="1:13">
      <c r="A360" s="7" t="s">
        <v>587</v>
      </c>
      <c r="B360" s="9" t="s">
        <v>588</v>
      </c>
      <c r="C360" s="7">
        <v>2019</v>
      </c>
      <c r="D360" s="7" t="s">
        <v>33</v>
      </c>
      <c r="E360" s="7" t="s">
        <v>76</v>
      </c>
      <c r="F360" s="7" t="s">
        <v>41</v>
      </c>
      <c r="G360" s="7">
        <v>897</v>
      </c>
      <c r="H360" s="7">
        <v>41</v>
      </c>
      <c r="I360" s="7" t="s">
        <v>35</v>
      </c>
      <c r="J360" s="7">
        <v>0</v>
      </c>
      <c r="K360" s="7">
        <v>1</v>
      </c>
      <c r="L360" s="7">
        <v>-12.6</v>
      </c>
      <c r="M360" t="str">
        <f t="shared" si="5"/>
        <v>medium risk</v>
      </c>
    </row>
    <row r="361" spans="1:13">
      <c r="A361" s="7" t="s">
        <v>589</v>
      </c>
      <c r="B361" s="9" t="s">
        <v>590</v>
      </c>
      <c r="C361" s="7">
        <v>2019</v>
      </c>
      <c r="D361" s="7" t="s">
        <v>96</v>
      </c>
      <c r="E361" s="7" t="s">
        <v>63</v>
      </c>
      <c r="F361" s="7" t="s">
        <v>24</v>
      </c>
      <c r="G361" s="7">
        <v>221</v>
      </c>
      <c r="H361" s="7">
        <v>18</v>
      </c>
      <c r="I361" s="7" t="s">
        <v>25</v>
      </c>
      <c r="J361" s="7">
        <v>1</v>
      </c>
      <c r="K361" s="7">
        <v>0</v>
      </c>
      <c r="L361" s="7">
        <v>14.6</v>
      </c>
      <c r="M361" t="str">
        <f t="shared" si="5"/>
        <v>low risk</v>
      </c>
    </row>
    <row r="362" spans="1:13">
      <c r="A362" s="7" t="s">
        <v>591</v>
      </c>
      <c r="B362" s="9" t="s">
        <v>592</v>
      </c>
      <c r="C362" s="7">
        <v>2019</v>
      </c>
      <c r="D362" s="7" t="s">
        <v>156</v>
      </c>
      <c r="E362" s="7" t="s">
        <v>34</v>
      </c>
      <c r="F362" s="7" t="s">
        <v>41</v>
      </c>
      <c r="G362" s="7">
        <v>3225</v>
      </c>
      <c r="H362" s="7">
        <v>48</v>
      </c>
      <c r="I362" s="7" t="s">
        <v>30</v>
      </c>
      <c r="J362" s="7">
        <v>0</v>
      </c>
      <c r="K362" s="7">
        <v>0</v>
      </c>
      <c r="L362" s="7">
        <v>-11.7</v>
      </c>
      <c r="M362" t="str">
        <f t="shared" si="5"/>
        <v>high risk</v>
      </c>
    </row>
    <row r="363" spans="1:13">
      <c r="A363" s="7" t="s">
        <v>593</v>
      </c>
      <c r="B363" s="9" t="s">
        <v>594</v>
      </c>
      <c r="C363" s="7">
        <v>2019</v>
      </c>
      <c r="D363" s="7" t="s">
        <v>44</v>
      </c>
      <c r="E363" s="7" t="s">
        <v>83</v>
      </c>
      <c r="F363" s="7" t="s">
        <v>24</v>
      </c>
      <c r="G363" s="7">
        <v>173</v>
      </c>
      <c r="H363" s="7">
        <v>13</v>
      </c>
      <c r="I363" s="7" t="s">
        <v>25</v>
      </c>
      <c r="J363" s="7">
        <v>1</v>
      </c>
      <c r="K363" s="7">
        <v>0</v>
      </c>
      <c r="L363" s="7">
        <v>12.3</v>
      </c>
      <c r="M363" t="str">
        <f t="shared" si="5"/>
        <v>low risk</v>
      </c>
    </row>
    <row r="364" spans="1:13">
      <c r="A364" s="7" t="s">
        <v>595</v>
      </c>
      <c r="B364" s="9">
        <v>43780</v>
      </c>
      <c r="C364" s="7">
        <v>2019</v>
      </c>
      <c r="D364" s="7" t="s">
        <v>37</v>
      </c>
      <c r="E364" s="7" t="s">
        <v>78</v>
      </c>
      <c r="F364" s="7" t="s">
        <v>24</v>
      </c>
      <c r="G364" s="7">
        <v>148</v>
      </c>
      <c r="H364" s="7">
        <v>20</v>
      </c>
      <c r="I364" s="7" t="s">
        <v>35</v>
      </c>
      <c r="J364" s="7">
        <v>0</v>
      </c>
      <c r="K364" s="7">
        <v>1</v>
      </c>
      <c r="L364" s="7">
        <v>-26.8</v>
      </c>
      <c r="M364" t="str">
        <f t="shared" si="5"/>
        <v>low risk</v>
      </c>
    </row>
    <row r="365" spans="1:13">
      <c r="A365" s="7" t="s">
        <v>596</v>
      </c>
      <c r="B365" s="9" t="s">
        <v>597</v>
      </c>
      <c r="C365" s="7">
        <v>2019</v>
      </c>
      <c r="D365" s="7" t="s">
        <v>107</v>
      </c>
      <c r="E365" s="7" t="s">
        <v>54</v>
      </c>
      <c r="F365" s="7" t="s">
        <v>24</v>
      </c>
      <c r="G365" s="7">
        <v>326</v>
      </c>
      <c r="H365" s="7">
        <v>9</v>
      </c>
      <c r="I365" s="7" t="s">
        <v>25</v>
      </c>
      <c r="J365" s="7">
        <v>1</v>
      </c>
      <c r="K365" s="7">
        <v>0</v>
      </c>
      <c r="L365" s="7">
        <v>5.9</v>
      </c>
      <c r="M365" t="str">
        <f t="shared" si="5"/>
        <v>low risk</v>
      </c>
    </row>
    <row r="366" spans="1:13">
      <c r="A366" s="7" t="s">
        <v>598</v>
      </c>
      <c r="B366" s="9" t="s">
        <v>599</v>
      </c>
      <c r="C366" s="7">
        <v>2019</v>
      </c>
      <c r="D366" s="7" t="s">
        <v>46</v>
      </c>
      <c r="E366" s="7" t="s">
        <v>23</v>
      </c>
      <c r="F366" s="7" t="s">
        <v>24</v>
      </c>
      <c r="G366" s="7">
        <v>463</v>
      </c>
      <c r="H366" s="7">
        <v>15</v>
      </c>
      <c r="I366" s="7" t="s">
        <v>35</v>
      </c>
      <c r="J366" s="7">
        <v>0</v>
      </c>
      <c r="K366" s="7">
        <v>1</v>
      </c>
      <c r="L366" s="7">
        <v>-23.2</v>
      </c>
      <c r="M366" t="str">
        <f t="shared" si="5"/>
        <v>low risk</v>
      </c>
    </row>
    <row r="367" spans="1:13">
      <c r="A367" s="7" t="s">
        <v>600</v>
      </c>
      <c r="B367" s="9">
        <v>43658</v>
      </c>
      <c r="C367" s="7">
        <v>2019</v>
      </c>
      <c r="D367" s="7" t="s">
        <v>46</v>
      </c>
      <c r="E367" s="7" t="s">
        <v>29</v>
      </c>
      <c r="F367" s="7" t="s">
        <v>24</v>
      </c>
      <c r="G367" s="7">
        <v>166</v>
      </c>
      <c r="H367" s="7">
        <v>23</v>
      </c>
      <c r="I367" s="7" t="s">
        <v>25</v>
      </c>
      <c r="J367" s="7">
        <v>1</v>
      </c>
      <c r="K367" s="7">
        <v>0</v>
      </c>
      <c r="L367" s="7">
        <v>9.1999999999999993</v>
      </c>
      <c r="M367" t="str">
        <f t="shared" si="5"/>
        <v>low risk</v>
      </c>
    </row>
    <row r="368" spans="1:13">
      <c r="A368" s="7" t="s">
        <v>601</v>
      </c>
      <c r="B368" s="9">
        <v>43689</v>
      </c>
      <c r="C368" s="7">
        <v>2019</v>
      </c>
      <c r="D368" s="7" t="s">
        <v>112</v>
      </c>
      <c r="E368" s="7" t="s">
        <v>63</v>
      </c>
      <c r="F368" s="7" t="s">
        <v>24</v>
      </c>
      <c r="G368" s="7">
        <v>182</v>
      </c>
      <c r="H368" s="7">
        <v>7</v>
      </c>
      <c r="I368" s="7" t="s">
        <v>25</v>
      </c>
      <c r="J368" s="7">
        <v>1</v>
      </c>
      <c r="K368" s="7">
        <v>0</v>
      </c>
      <c r="L368" s="7">
        <v>1.9</v>
      </c>
      <c r="M368" t="str">
        <f t="shared" si="5"/>
        <v>low risk</v>
      </c>
    </row>
    <row r="369" spans="1:13">
      <c r="A369" s="7" t="s">
        <v>602</v>
      </c>
      <c r="B369" s="9" t="s">
        <v>603</v>
      </c>
      <c r="C369" s="7">
        <v>2019</v>
      </c>
      <c r="D369" s="7" t="s">
        <v>107</v>
      </c>
      <c r="E369" s="7" t="s">
        <v>34</v>
      </c>
      <c r="F369" s="7" t="s">
        <v>24</v>
      </c>
      <c r="G369" s="7">
        <v>138</v>
      </c>
      <c r="H369" s="7">
        <v>25</v>
      </c>
      <c r="I369" s="7" t="s">
        <v>25</v>
      </c>
      <c r="J369" s="7">
        <v>1</v>
      </c>
      <c r="K369" s="7">
        <v>0</v>
      </c>
      <c r="L369" s="7">
        <v>3.3</v>
      </c>
      <c r="M369" t="str">
        <f t="shared" si="5"/>
        <v>low risk</v>
      </c>
    </row>
    <row r="370" spans="1:13">
      <c r="A370" s="7" t="s">
        <v>604</v>
      </c>
      <c r="B370" s="9">
        <v>43952</v>
      </c>
      <c r="C370" s="7">
        <v>2020</v>
      </c>
      <c r="D370" s="7" t="s">
        <v>112</v>
      </c>
      <c r="E370" s="7" t="s">
        <v>76</v>
      </c>
      <c r="F370" s="7" t="s">
        <v>24</v>
      </c>
      <c r="G370" s="7">
        <v>91</v>
      </c>
      <c r="H370" s="7">
        <v>17</v>
      </c>
      <c r="I370" s="7" t="s">
        <v>25</v>
      </c>
      <c r="J370" s="7">
        <v>1</v>
      </c>
      <c r="K370" s="7">
        <v>0</v>
      </c>
      <c r="L370" s="7">
        <v>17.600000000000001</v>
      </c>
      <c r="M370" t="str">
        <f t="shared" si="5"/>
        <v>low risk</v>
      </c>
    </row>
    <row r="371" spans="1:13">
      <c r="A371" s="7" t="s">
        <v>605</v>
      </c>
      <c r="B371" s="9" t="s">
        <v>606</v>
      </c>
      <c r="C371" s="7">
        <v>2020</v>
      </c>
      <c r="D371" s="7" t="s">
        <v>28</v>
      </c>
      <c r="E371" s="7" t="s">
        <v>29</v>
      </c>
      <c r="F371" s="7" t="s">
        <v>41</v>
      </c>
      <c r="G371" s="7">
        <v>1443</v>
      </c>
      <c r="H371" s="7">
        <v>40</v>
      </c>
      <c r="I371" s="7" t="s">
        <v>25</v>
      </c>
      <c r="J371" s="7">
        <v>1</v>
      </c>
      <c r="K371" s="7">
        <v>0</v>
      </c>
      <c r="L371" s="7">
        <v>18.3</v>
      </c>
      <c r="M371" t="str">
        <f t="shared" si="5"/>
        <v>medium risk</v>
      </c>
    </row>
    <row r="372" spans="1:13">
      <c r="A372" s="7" t="s">
        <v>607</v>
      </c>
      <c r="B372" s="9" t="s">
        <v>608</v>
      </c>
      <c r="C372" s="7">
        <v>2020</v>
      </c>
      <c r="D372" s="7" t="s">
        <v>96</v>
      </c>
      <c r="E372" s="7" t="s">
        <v>38</v>
      </c>
      <c r="F372" s="7" t="s">
        <v>41</v>
      </c>
      <c r="G372" s="7">
        <v>985</v>
      </c>
      <c r="H372" s="7">
        <v>42</v>
      </c>
      <c r="I372" s="7" t="s">
        <v>25</v>
      </c>
      <c r="J372" s="7">
        <v>1</v>
      </c>
      <c r="K372" s="7">
        <v>0</v>
      </c>
      <c r="L372" s="7">
        <v>12.7</v>
      </c>
      <c r="M372" t="str">
        <f t="shared" si="5"/>
        <v>medium risk</v>
      </c>
    </row>
    <row r="373" spans="1:13">
      <c r="A373" s="7" t="s">
        <v>609</v>
      </c>
      <c r="B373" s="9">
        <v>43863</v>
      </c>
      <c r="C373" s="7">
        <v>2020</v>
      </c>
      <c r="D373" s="7" t="s">
        <v>75</v>
      </c>
      <c r="E373" s="7" t="s">
        <v>47</v>
      </c>
      <c r="F373" s="7" t="s">
        <v>41</v>
      </c>
      <c r="G373" s="7">
        <v>1398</v>
      </c>
      <c r="H373" s="7">
        <v>32</v>
      </c>
      <c r="I373" s="7" t="s">
        <v>25</v>
      </c>
      <c r="J373" s="7">
        <v>1</v>
      </c>
      <c r="K373" s="7">
        <v>0</v>
      </c>
      <c r="L373" s="7">
        <v>10.8</v>
      </c>
      <c r="M373" t="str">
        <f t="shared" si="5"/>
        <v>medium risk</v>
      </c>
    </row>
    <row r="374" spans="1:13">
      <c r="A374" s="7" t="s">
        <v>610</v>
      </c>
      <c r="B374" s="9">
        <v>44014</v>
      </c>
      <c r="C374" s="7">
        <v>2020</v>
      </c>
      <c r="D374" s="7" t="s">
        <v>156</v>
      </c>
      <c r="E374" s="7" t="s">
        <v>23</v>
      </c>
      <c r="F374" s="7" t="s">
        <v>24</v>
      </c>
      <c r="G374" s="7">
        <v>338</v>
      </c>
      <c r="H374" s="7">
        <v>22</v>
      </c>
      <c r="I374" s="7" t="s">
        <v>35</v>
      </c>
      <c r="J374" s="7">
        <v>0</v>
      </c>
      <c r="K374" s="7">
        <v>1</v>
      </c>
      <c r="L374" s="7">
        <v>-9.4</v>
      </c>
      <c r="M374" t="str">
        <f t="shared" si="5"/>
        <v>low risk</v>
      </c>
    </row>
    <row r="375" spans="1:13">
      <c r="A375" s="7" t="s">
        <v>611</v>
      </c>
      <c r="B375" s="9">
        <v>44045</v>
      </c>
      <c r="C375" s="7">
        <v>2020</v>
      </c>
      <c r="D375" s="7" t="s">
        <v>115</v>
      </c>
      <c r="E375" s="7" t="s">
        <v>63</v>
      </c>
      <c r="F375" s="7" t="s">
        <v>24</v>
      </c>
      <c r="G375" s="7">
        <v>149</v>
      </c>
      <c r="H375" s="7">
        <v>26</v>
      </c>
      <c r="I375" s="7" t="s">
        <v>25</v>
      </c>
      <c r="J375" s="7">
        <v>1</v>
      </c>
      <c r="K375" s="7">
        <v>0</v>
      </c>
      <c r="L375" s="7">
        <v>7.6</v>
      </c>
      <c r="M375" t="str">
        <f t="shared" si="5"/>
        <v>low risk</v>
      </c>
    </row>
    <row r="376" spans="1:13">
      <c r="A376" s="7" t="s">
        <v>612</v>
      </c>
      <c r="B376" s="9">
        <v>43893</v>
      </c>
      <c r="C376" s="7">
        <v>2020</v>
      </c>
      <c r="D376" s="7" t="s">
        <v>44</v>
      </c>
      <c r="E376" s="7" t="s">
        <v>29</v>
      </c>
      <c r="F376" s="7" t="s">
        <v>41</v>
      </c>
      <c r="G376" s="7">
        <v>869</v>
      </c>
      <c r="H376" s="7">
        <v>31</v>
      </c>
      <c r="I376" s="7" t="s">
        <v>25</v>
      </c>
      <c r="J376" s="7">
        <v>1</v>
      </c>
      <c r="K376" s="7">
        <v>0</v>
      </c>
      <c r="L376" s="7">
        <v>10.4</v>
      </c>
      <c r="M376" t="str">
        <f t="shared" si="5"/>
        <v>medium risk</v>
      </c>
    </row>
    <row r="377" spans="1:13">
      <c r="A377" s="7" t="s">
        <v>613</v>
      </c>
      <c r="B377" s="9" t="s">
        <v>614</v>
      </c>
      <c r="C377" s="7">
        <v>2020</v>
      </c>
      <c r="D377" s="7" t="s">
        <v>37</v>
      </c>
      <c r="E377" s="7" t="s">
        <v>38</v>
      </c>
      <c r="F377" s="7" t="s">
        <v>24</v>
      </c>
      <c r="G377" s="7">
        <v>679</v>
      </c>
      <c r="H377" s="7">
        <v>10</v>
      </c>
      <c r="I377" s="7" t="s">
        <v>25</v>
      </c>
      <c r="J377" s="7">
        <v>1</v>
      </c>
      <c r="K377" s="7">
        <v>0</v>
      </c>
      <c r="L377" s="7">
        <v>9</v>
      </c>
      <c r="M377" t="str">
        <f t="shared" si="5"/>
        <v>medium risk</v>
      </c>
    </row>
    <row r="378" spans="1:13">
      <c r="A378" s="7" t="s">
        <v>615</v>
      </c>
      <c r="B378" s="9">
        <v>43955</v>
      </c>
      <c r="C378" s="7">
        <v>2020</v>
      </c>
      <c r="D378" s="7" t="s">
        <v>194</v>
      </c>
      <c r="E378" s="7" t="s">
        <v>38</v>
      </c>
      <c r="F378" s="7" t="s">
        <v>41</v>
      </c>
      <c r="G378" s="7">
        <v>1761</v>
      </c>
      <c r="H378" s="7">
        <v>40</v>
      </c>
      <c r="I378" s="7" t="s">
        <v>25</v>
      </c>
      <c r="J378" s="7">
        <v>1</v>
      </c>
      <c r="K378" s="7">
        <v>0</v>
      </c>
      <c r="L378" s="7">
        <v>7.6</v>
      </c>
      <c r="M378" t="str">
        <f t="shared" si="5"/>
        <v>medium risk</v>
      </c>
    </row>
    <row r="379" spans="1:13">
      <c r="A379" s="7" t="s">
        <v>616</v>
      </c>
      <c r="B379" s="9">
        <v>43986</v>
      </c>
      <c r="C379" s="7">
        <v>2020</v>
      </c>
      <c r="D379" s="7" t="s">
        <v>28</v>
      </c>
      <c r="E379" s="7" t="s">
        <v>34</v>
      </c>
      <c r="F379" s="7" t="s">
        <v>41</v>
      </c>
      <c r="G379" s="7">
        <v>1336</v>
      </c>
      <c r="H379" s="7">
        <v>40</v>
      </c>
      <c r="I379" s="7" t="s">
        <v>30</v>
      </c>
      <c r="J379" s="7">
        <v>0</v>
      </c>
      <c r="K379" s="7">
        <v>0</v>
      </c>
      <c r="L379" s="7">
        <v>-4.0999999999999996</v>
      </c>
      <c r="M379" t="str">
        <f t="shared" si="5"/>
        <v>medium risk</v>
      </c>
    </row>
    <row r="380" spans="1:13">
      <c r="A380" s="7" t="s">
        <v>617</v>
      </c>
      <c r="B380" s="9">
        <v>44169</v>
      </c>
      <c r="C380" s="7">
        <v>2020</v>
      </c>
      <c r="D380" s="7" t="s">
        <v>75</v>
      </c>
      <c r="E380" s="7" t="s">
        <v>76</v>
      </c>
      <c r="F380" s="7" t="s">
        <v>24</v>
      </c>
      <c r="G380" s="7">
        <v>352</v>
      </c>
      <c r="H380" s="7">
        <v>10</v>
      </c>
      <c r="I380" s="7" t="s">
        <v>35</v>
      </c>
      <c r="J380" s="7">
        <v>0</v>
      </c>
      <c r="K380" s="7">
        <v>1</v>
      </c>
      <c r="L380" s="7">
        <v>-1</v>
      </c>
      <c r="M380" t="str">
        <f t="shared" si="5"/>
        <v>low risk</v>
      </c>
    </row>
    <row r="381" spans="1:13">
      <c r="A381" s="7" t="s">
        <v>618</v>
      </c>
      <c r="B381" s="9" t="s">
        <v>619</v>
      </c>
      <c r="C381" s="7">
        <v>2020</v>
      </c>
      <c r="D381" s="7" t="s">
        <v>28</v>
      </c>
      <c r="E381" s="7" t="s">
        <v>47</v>
      </c>
      <c r="F381" s="7" t="s">
        <v>41</v>
      </c>
      <c r="G381" s="7">
        <v>454</v>
      </c>
      <c r="H381" s="7">
        <v>35</v>
      </c>
      <c r="I381" s="7" t="s">
        <v>25</v>
      </c>
      <c r="J381" s="7">
        <v>1</v>
      </c>
      <c r="K381" s="7">
        <v>0</v>
      </c>
      <c r="L381" s="7">
        <v>6.5</v>
      </c>
      <c r="M381" t="str">
        <f t="shared" si="5"/>
        <v>low risk</v>
      </c>
    </row>
    <row r="382" spans="1:13">
      <c r="A382" s="7" t="s">
        <v>620</v>
      </c>
      <c r="B382" s="9" t="s">
        <v>621</v>
      </c>
      <c r="C382" s="7">
        <v>2020</v>
      </c>
      <c r="D382" s="7" t="s">
        <v>107</v>
      </c>
      <c r="E382" s="7" t="s">
        <v>34</v>
      </c>
      <c r="F382" s="7" t="s">
        <v>41</v>
      </c>
      <c r="G382" s="7">
        <v>719</v>
      </c>
      <c r="H382" s="7">
        <v>34</v>
      </c>
      <c r="I382" s="7" t="s">
        <v>25</v>
      </c>
      <c r="J382" s="7">
        <v>1</v>
      </c>
      <c r="K382" s="7">
        <v>0</v>
      </c>
      <c r="L382" s="7">
        <v>9.1</v>
      </c>
      <c r="M382" t="str">
        <f t="shared" si="5"/>
        <v>medium risk</v>
      </c>
    </row>
    <row r="383" spans="1:13">
      <c r="A383" s="7" t="s">
        <v>622</v>
      </c>
      <c r="B383" s="9">
        <v>43867</v>
      </c>
      <c r="C383" s="7">
        <v>2020</v>
      </c>
      <c r="D383" s="7" t="s">
        <v>37</v>
      </c>
      <c r="E383" s="7" t="s">
        <v>76</v>
      </c>
      <c r="F383" s="7" t="s">
        <v>24</v>
      </c>
      <c r="G383" s="7">
        <v>674</v>
      </c>
      <c r="H383" s="7">
        <v>25</v>
      </c>
      <c r="I383" s="7" t="s">
        <v>25</v>
      </c>
      <c r="J383" s="7">
        <v>1</v>
      </c>
      <c r="K383" s="7">
        <v>0</v>
      </c>
      <c r="L383" s="7">
        <v>9.6</v>
      </c>
      <c r="M383" t="str">
        <f t="shared" si="5"/>
        <v>medium risk</v>
      </c>
    </row>
    <row r="384" spans="1:13">
      <c r="A384" s="7" t="s">
        <v>623</v>
      </c>
      <c r="B384" s="9">
        <v>44049</v>
      </c>
      <c r="C384" s="7">
        <v>2020</v>
      </c>
      <c r="D384" s="7" t="s">
        <v>46</v>
      </c>
      <c r="E384" s="7" t="s">
        <v>76</v>
      </c>
      <c r="F384" s="7" t="s">
        <v>24</v>
      </c>
      <c r="G384" s="7">
        <v>249</v>
      </c>
      <c r="H384" s="7">
        <v>19</v>
      </c>
      <c r="I384" s="7" t="s">
        <v>25</v>
      </c>
      <c r="J384" s="7">
        <v>1</v>
      </c>
      <c r="K384" s="7">
        <v>0</v>
      </c>
      <c r="L384" s="7">
        <v>12</v>
      </c>
      <c r="M384" t="str">
        <f t="shared" si="5"/>
        <v>low risk</v>
      </c>
    </row>
    <row r="385" spans="1:13">
      <c r="A385" s="7" t="s">
        <v>624</v>
      </c>
      <c r="B385" s="9" t="s">
        <v>625</v>
      </c>
      <c r="C385" s="7">
        <v>2020</v>
      </c>
      <c r="D385" s="7" t="s">
        <v>37</v>
      </c>
      <c r="E385" s="7" t="s">
        <v>47</v>
      </c>
      <c r="F385" s="7" t="s">
        <v>41</v>
      </c>
      <c r="G385" s="7">
        <v>1183</v>
      </c>
      <c r="H385" s="7">
        <v>44</v>
      </c>
      <c r="I385" s="7" t="s">
        <v>25</v>
      </c>
      <c r="J385" s="7">
        <v>1</v>
      </c>
      <c r="K385" s="7">
        <v>0</v>
      </c>
      <c r="L385" s="7">
        <v>5.6</v>
      </c>
      <c r="M385" t="str">
        <f t="shared" si="5"/>
        <v>medium risk</v>
      </c>
    </row>
    <row r="386" spans="1:13">
      <c r="A386" s="7" t="s">
        <v>626</v>
      </c>
      <c r="B386" s="9">
        <v>44019</v>
      </c>
      <c r="C386" s="7">
        <v>2020</v>
      </c>
      <c r="D386" s="7" t="s">
        <v>75</v>
      </c>
      <c r="E386" s="7" t="s">
        <v>23</v>
      </c>
      <c r="F386" s="7" t="s">
        <v>41</v>
      </c>
      <c r="G386" s="7">
        <v>2805</v>
      </c>
      <c r="H386" s="7">
        <v>38</v>
      </c>
      <c r="I386" s="7" t="s">
        <v>35</v>
      </c>
      <c r="J386" s="7">
        <v>0</v>
      </c>
      <c r="K386" s="7">
        <v>1</v>
      </c>
      <c r="L386" s="7">
        <v>-13.2</v>
      </c>
      <c r="M386" t="str">
        <f t="shared" si="5"/>
        <v>high risk</v>
      </c>
    </row>
    <row r="387" spans="1:13">
      <c r="A387" s="7" t="s">
        <v>627</v>
      </c>
      <c r="B387" s="9">
        <v>44050</v>
      </c>
      <c r="C387" s="7">
        <v>2020</v>
      </c>
      <c r="D387" s="7" t="s">
        <v>156</v>
      </c>
      <c r="E387" s="7" t="s">
        <v>23</v>
      </c>
      <c r="F387" s="7" t="s">
        <v>41</v>
      </c>
      <c r="G387" s="7">
        <v>1091</v>
      </c>
      <c r="H387" s="7">
        <v>33</v>
      </c>
      <c r="I387" s="7" t="s">
        <v>35</v>
      </c>
      <c r="J387" s="7">
        <v>0</v>
      </c>
      <c r="K387" s="7">
        <v>1</v>
      </c>
      <c r="L387" s="7">
        <v>-24.2</v>
      </c>
      <c r="M387" t="str">
        <f t="shared" ref="M387:M450" si="6">IF(G387&gt;2000,"high risk",IF(G387&gt;500,"medium risk","low risk"))</f>
        <v>medium risk</v>
      </c>
    </row>
    <row r="388" spans="1:13">
      <c r="A388" s="7" t="s">
        <v>628</v>
      </c>
      <c r="B388" s="9">
        <v>44111</v>
      </c>
      <c r="C388" s="7">
        <v>2020</v>
      </c>
      <c r="D388" s="7" t="s">
        <v>101</v>
      </c>
      <c r="E388" s="7" t="s">
        <v>34</v>
      </c>
      <c r="F388" s="7" t="s">
        <v>41</v>
      </c>
      <c r="G388" s="7">
        <v>489</v>
      </c>
      <c r="H388" s="7">
        <v>34</v>
      </c>
      <c r="I388" s="7" t="s">
        <v>35</v>
      </c>
      <c r="J388" s="7">
        <v>0</v>
      </c>
      <c r="K388" s="7">
        <v>1</v>
      </c>
      <c r="L388" s="7">
        <v>-13.5</v>
      </c>
      <c r="M388" t="str">
        <f t="shared" si="6"/>
        <v>low risk</v>
      </c>
    </row>
    <row r="389" spans="1:13">
      <c r="A389" s="7" t="s">
        <v>629</v>
      </c>
      <c r="B389" s="9">
        <v>43990</v>
      </c>
      <c r="C389" s="7">
        <v>2020</v>
      </c>
      <c r="D389" s="7" t="s">
        <v>112</v>
      </c>
      <c r="E389" s="7" t="s">
        <v>63</v>
      </c>
      <c r="F389" s="7" t="s">
        <v>41</v>
      </c>
      <c r="G389" s="7">
        <v>866</v>
      </c>
      <c r="H389" s="7">
        <v>39</v>
      </c>
      <c r="I389" s="7" t="s">
        <v>25</v>
      </c>
      <c r="J389" s="7">
        <v>1</v>
      </c>
      <c r="K389" s="7">
        <v>0</v>
      </c>
      <c r="L389" s="7">
        <v>13.8</v>
      </c>
      <c r="M389" t="str">
        <f t="shared" si="6"/>
        <v>medium risk</v>
      </c>
    </row>
    <row r="390" spans="1:13">
      <c r="A390" s="7" t="s">
        <v>630</v>
      </c>
      <c r="B390" s="9">
        <v>43839</v>
      </c>
      <c r="C390" s="7">
        <v>2020</v>
      </c>
      <c r="D390" s="7" t="s">
        <v>66</v>
      </c>
      <c r="E390" s="7" t="s">
        <v>34</v>
      </c>
      <c r="F390" s="7" t="s">
        <v>24</v>
      </c>
      <c r="G390" s="7">
        <v>94</v>
      </c>
      <c r="H390" s="7">
        <v>6</v>
      </c>
      <c r="I390" s="7" t="s">
        <v>25</v>
      </c>
      <c r="J390" s="7">
        <v>1</v>
      </c>
      <c r="K390" s="7">
        <v>0</v>
      </c>
      <c r="L390" s="7">
        <v>12.6</v>
      </c>
      <c r="M390" t="str">
        <f t="shared" si="6"/>
        <v>low risk</v>
      </c>
    </row>
    <row r="391" spans="1:13">
      <c r="A391" s="7" t="s">
        <v>631</v>
      </c>
      <c r="B391" s="9">
        <v>43930</v>
      </c>
      <c r="C391" s="7">
        <v>2020</v>
      </c>
      <c r="D391" s="7" t="s">
        <v>96</v>
      </c>
      <c r="E391" s="7" t="s">
        <v>29</v>
      </c>
      <c r="F391" s="7" t="s">
        <v>24</v>
      </c>
      <c r="G391" s="7">
        <v>463</v>
      </c>
      <c r="H391" s="7">
        <v>17</v>
      </c>
      <c r="I391" s="7" t="s">
        <v>30</v>
      </c>
      <c r="J391" s="7">
        <v>0</v>
      </c>
      <c r="K391" s="7">
        <v>0</v>
      </c>
      <c r="L391" s="7">
        <v>-2.7</v>
      </c>
      <c r="M391" t="str">
        <f t="shared" si="6"/>
        <v>low risk</v>
      </c>
    </row>
    <row r="392" spans="1:13">
      <c r="A392" s="7" t="s">
        <v>632</v>
      </c>
      <c r="B392" s="9">
        <v>44144</v>
      </c>
      <c r="C392" s="7">
        <v>2020</v>
      </c>
      <c r="D392" s="7" t="s">
        <v>28</v>
      </c>
      <c r="E392" s="7" t="s">
        <v>38</v>
      </c>
      <c r="F392" s="7" t="s">
        <v>41</v>
      </c>
      <c r="G392" s="7">
        <v>690</v>
      </c>
      <c r="H392" s="7">
        <v>33</v>
      </c>
      <c r="I392" s="7" t="s">
        <v>25</v>
      </c>
      <c r="J392" s="7">
        <v>1</v>
      </c>
      <c r="K392" s="7">
        <v>0</v>
      </c>
      <c r="L392" s="7">
        <v>15.4</v>
      </c>
      <c r="M392" t="str">
        <f t="shared" si="6"/>
        <v>medium risk</v>
      </c>
    </row>
    <row r="393" spans="1:13">
      <c r="A393" s="7" t="s">
        <v>633</v>
      </c>
      <c r="B393" s="9">
        <v>43871</v>
      </c>
      <c r="C393" s="7">
        <v>2020</v>
      </c>
      <c r="D393" s="7" t="s">
        <v>33</v>
      </c>
      <c r="E393" s="7" t="s">
        <v>34</v>
      </c>
      <c r="F393" s="7" t="s">
        <v>41</v>
      </c>
      <c r="G393" s="7">
        <v>1508</v>
      </c>
      <c r="H393" s="7">
        <v>36</v>
      </c>
      <c r="I393" s="7" t="s">
        <v>35</v>
      </c>
      <c r="J393" s="7">
        <v>0</v>
      </c>
      <c r="K393" s="7">
        <v>1</v>
      </c>
      <c r="L393" s="7">
        <v>-15.5</v>
      </c>
      <c r="M393" t="str">
        <f t="shared" si="6"/>
        <v>medium risk</v>
      </c>
    </row>
    <row r="394" spans="1:13">
      <c r="A394" s="7" t="s">
        <v>634</v>
      </c>
      <c r="B394" s="9">
        <v>43992</v>
      </c>
      <c r="C394" s="7">
        <v>2020</v>
      </c>
      <c r="D394" s="7" t="s">
        <v>44</v>
      </c>
      <c r="E394" s="7" t="s">
        <v>34</v>
      </c>
      <c r="F394" s="7" t="s">
        <v>24</v>
      </c>
      <c r="G394" s="7">
        <v>210</v>
      </c>
      <c r="H394" s="7">
        <v>23</v>
      </c>
      <c r="I394" s="7" t="s">
        <v>25</v>
      </c>
      <c r="J394" s="7">
        <v>1</v>
      </c>
      <c r="K394" s="7">
        <v>0</v>
      </c>
      <c r="L394" s="7">
        <v>9.1999999999999993</v>
      </c>
      <c r="M394" t="str">
        <f t="shared" si="6"/>
        <v>low risk</v>
      </c>
    </row>
    <row r="395" spans="1:13">
      <c r="A395" s="7" t="s">
        <v>635</v>
      </c>
      <c r="B395" s="9">
        <v>44197</v>
      </c>
      <c r="C395" s="7">
        <v>2021</v>
      </c>
      <c r="D395" s="7" t="s">
        <v>101</v>
      </c>
      <c r="E395" s="7" t="s">
        <v>47</v>
      </c>
      <c r="F395" s="7" t="s">
        <v>41</v>
      </c>
      <c r="G395" s="7">
        <v>903</v>
      </c>
      <c r="H395" s="7">
        <v>38</v>
      </c>
      <c r="I395" s="7" t="s">
        <v>25</v>
      </c>
      <c r="J395" s="7">
        <v>1</v>
      </c>
      <c r="K395" s="7">
        <v>0</v>
      </c>
      <c r="L395" s="7">
        <v>-5.5</v>
      </c>
      <c r="M395" t="str">
        <f t="shared" si="6"/>
        <v>medium risk</v>
      </c>
    </row>
    <row r="396" spans="1:13">
      <c r="A396" s="7" t="s">
        <v>636</v>
      </c>
      <c r="B396" s="9">
        <v>44197</v>
      </c>
      <c r="C396" s="7">
        <v>2021</v>
      </c>
      <c r="D396" s="7" t="s">
        <v>51</v>
      </c>
      <c r="E396" s="7" t="s">
        <v>47</v>
      </c>
      <c r="F396" s="7" t="s">
        <v>41</v>
      </c>
      <c r="G396" s="7">
        <v>2552</v>
      </c>
      <c r="H396" s="7">
        <v>38</v>
      </c>
      <c r="I396" s="7" t="s">
        <v>25</v>
      </c>
      <c r="J396" s="7">
        <v>1</v>
      </c>
      <c r="K396" s="7">
        <v>0</v>
      </c>
      <c r="L396" s="7">
        <v>-2.7</v>
      </c>
      <c r="M396" t="str">
        <f t="shared" si="6"/>
        <v>high risk</v>
      </c>
    </row>
    <row r="397" spans="1:13">
      <c r="A397" s="7" t="s">
        <v>637</v>
      </c>
      <c r="B397" s="9">
        <v>44317</v>
      </c>
      <c r="C397" s="7">
        <v>2021</v>
      </c>
      <c r="D397" s="7" t="s">
        <v>112</v>
      </c>
      <c r="E397" s="7" t="s">
        <v>23</v>
      </c>
      <c r="F397" s="7" t="s">
        <v>41</v>
      </c>
      <c r="G397" s="7">
        <v>1410</v>
      </c>
      <c r="H397" s="7">
        <v>25</v>
      </c>
      <c r="I397" s="7" t="s">
        <v>30</v>
      </c>
      <c r="J397" s="7">
        <v>0</v>
      </c>
      <c r="K397" s="7">
        <v>0</v>
      </c>
      <c r="L397" s="7">
        <v>-10.5</v>
      </c>
      <c r="M397" t="str">
        <f t="shared" si="6"/>
        <v>medium risk</v>
      </c>
    </row>
    <row r="398" spans="1:13">
      <c r="A398" s="7" t="s">
        <v>638</v>
      </c>
      <c r="B398" s="9">
        <v>44501</v>
      </c>
      <c r="C398" s="7">
        <v>2021</v>
      </c>
      <c r="D398" s="7" t="s">
        <v>156</v>
      </c>
      <c r="E398" s="7" t="s">
        <v>47</v>
      </c>
      <c r="F398" s="7" t="s">
        <v>41</v>
      </c>
      <c r="G398" s="7">
        <v>2044</v>
      </c>
      <c r="H398" s="7">
        <v>43</v>
      </c>
      <c r="I398" s="7" t="s">
        <v>35</v>
      </c>
      <c r="J398" s="7">
        <v>0</v>
      </c>
      <c r="K398" s="7">
        <v>1</v>
      </c>
      <c r="L398" s="7">
        <v>-14.8</v>
      </c>
      <c r="M398" t="str">
        <f t="shared" si="6"/>
        <v>high risk</v>
      </c>
    </row>
    <row r="399" spans="1:13">
      <c r="A399" s="7" t="s">
        <v>639</v>
      </c>
      <c r="B399" s="9" t="s">
        <v>640</v>
      </c>
      <c r="C399" s="7">
        <v>2021</v>
      </c>
      <c r="D399" s="7" t="s">
        <v>40</v>
      </c>
      <c r="E399" s="7" t="s">
        <v>76</v>
      </c>
      <c r="F399" s="7" t="s">
        <v>41</v>
      </c>
      <c r="G399" s="7">
        <v>1588</v>
      </c>
      <c r="H399" s="7">
        <v>29</v>
      </c>
      <c r="I399" s="7" t="s">
        <v>30</v>
      </c>
      <c r="J399" s="7">
        <v>0</v>
      </c>
      <c r="K399" s="7">
        <v>0</v>
      </c>
      <c r="L399" s="7">
        <v>-9.9</v>
      </c>
      <c r="M399" t="str">
        <f t="shared" si="6"/>
        <v>medium risk</v>
      </c>
    </row>
    <row r="400" spans="1:13">
      <c r="A400" s="7" t="s">
        <v>641</v>
      </c>
      <c r="B400" s="9">
        <v>44410</v>
      </c>
      <c r="C400" s="7">
        <v>2021</v>
      </c>
      <c r="D400" s="7" t="s">
        <v>37</v>
      </c>
      <c r="E400" s="7" t="s">
        <v>38</v>
      </c>
      <c r="F400" s="7" t="s">
        <v>41</v>
      </c>
      <c r="G400" s="7">
        <v>499</v>
      </c>
      <c r="H400" s="7">
        <v>32</v>
      </c>
      <c r="I400" s="7" t="s">
        <v>25</v>
      </c>
      <c r="J400" s="7">
        <v>1</v>
      </c>
      <c r="K400" s="7">
        <v>0</v>
      </c>
      <c r="L400" s="7">
        <v>9.1999999999999993</v>
      </c>
      <c r="M400" t="str">
        <f t="shared" si="6"/>
        <v>low risk</v>
      </c>
    </row>
    <row r="401" spans="1:13">
      <c r="A401" s="7" t="s">
        <v>642</v>
      </c>
      <c r="B401" s="9" t="s">
        <v>643</v>
      </c>
      <c r="C401" s="7">
        <v>2021</v>
      </c>
      <c r="D401" s="7" t="s">
        <v>46</v>
      </c>
      <c r="E401" s="7" t="s">
        <v>83</v>
      </c>
      <c r="F401" s="7" t="s">
        <v>24</v>
      </c>
      <c r="G401" s="7">
        <v>168</v>
      </c>
      <c r="H401" s="7">
        <v>16</v>
      </c>
      <c r="I401" s="7" t="s">
        <v>35</v>
      </c>
      <c r="J401" s="7">
        <v>0</v>
      </c>
      <c r="K401" s="7">
        <v>1</v>
      </c>
      <c r="L401" s="7">
        <v>1.6</v>
      </c>
      <c r="M401" t="str">
        <f t="shared" si="6"/>
        <v>low risk</v>
      </c>
    </row>
    <row r="402" spans="1:13">
      <c r="A402" s="7" t="s">
        <v>644</v>
      </c>
      <c r="B402" s="9" t="s">
        <v>645</v>
      </c>
      <c r="C402" s="7">
        <v>2021</v>
      </c>
      <c r="D402" s="7" t="s">
        <v>40</v>
      </c>
      <c r="E402" s="7" t="s">
        <v>23</v>
      </c>
      <c r="F402" s="7" t="s">
        <v>24</v>
      </c>
      <c r="G402" s="7">
        <v>344</v>
      </c>
      <c r="H402" s="7">
        <v>7</v>
      </c>
      <c r="I402" s="7" t="s">
        <v>35</v>
      </c>
      <c r="J402" s="7">
        <v>0</v>
      </c>
      <c r="K402" s="7">
        <v>1</v>
      </c>
      <c r="L402" s="7">
        <v>-32.799999999999997</v>
      </c>
      <c r="M402" t="str">
        <f t="shared" si="6"/>
        <v>low risk</v>
      </c>
    </row>
    <row r="403" spans="1:13">
      <c r="A403" s="7" t="s">
        <v>646</v>
      </c>
      <c r="B403" s="9">
        <v>44289</v>
      </c>
      <c r="C403" s="7">
        <v>2021</v>
      </c>
      <c r="D403" s="7" t="s">
        <v>44</v>
      </c>
      <c r="E403" s="7" t="s">
        <v>23</v>
      </c>
      <c r="F403" s="7" t="s">
        <v>41</v>
      </c>
      <c r="G403" s="7">
        <v>2729</v>
      </c>
      <c r="H403" s="7">
        <v>42</v>
      </c>
      <c r="I403" s="7" t="s">
        <v>35</v>
      </c>
      <c r="J403" s="7">
        <v>0</v>
      </c>
      <c r="K403" s="7">
        <v>1</v>
      </c>
      <c r="L403" s="7">
        <v>-30.7</v>
      </c>
      <c r="M403" t="str">
        <f t="shared" si="6"/>
        <v>high risk</v>
      </c>
    </row>
    <row r="404" spans="1:13">
      <c r="A404" s="7" t="s">
        <v>647</v>
      </c>
      <c r="B404" s="9" t="s">
        <v>648</v>
      </c>
      <c r="C404" s="7">
        <v>2021</v>
      </c>
      <c r="D404" s="7" t="s">
        <v>33</v>
      </c>
      <c r="E404" s="7" t="s">
        <v>34</v>
      </c>
      <c r="F404" s="7" t="s">
        <v>41</v>
      </c>
      <c r="G404" s="7">
        <v>565</v>
      </c>
      <c r="H404" s="7">
        <v>46</v>
      </c>
      <c r="I404" s="7" t="s">
        <v>35</v>
      </c>
      <c r="J404" s="7">
        <v>0</v>
      </c>
      <c r="K404" s="7">
        <v>1</v>
      </c>
      <c r="L404" s="7">
        <v>-3.4</v>
      </c>
      <c r="M404" t="str">
        <f t="shared" si="6"/>
        <v>medium risk</v>
      </c>
    </row>
    <row r="405" spans="1:13">
      <c r="A405" s="7" t="s">
        <v>649</v>
      </c>
      <c r="B405" s="9" t="s">
        <v>650</v>
      </c>
      <c r="C405" s="7">
        <v>2021</v>
      </c>
      <c r="D405" s="7" t="s">
        <v>33</v>
      </c>
      <c r="E405" s="7" t="s">
        <v>47</v>
      </c>
      <c r="F405" s="7" t="s">
        <v>41</v>
      </c>
      <c r="G405" s="7">
        <v>529</v>
      </c>
      <c r="H405" s="7">
        <v>36</v>
      </c>
      <c r="I405" s="7" t="s">
        <v>25</v>
      </c>
      <c r="J405" s="7">
        <v>1</v>
      </c>
      <c r="K405" s="7">
        <v>0</v>
      </c>
      <c r="L405" s="7">
        <v>1.1000000000000001</v>
      </c>
      <c r="M405" t="str">
        <f t="shared" si="6"/>
        <v>medium risk</v>
      </c>
    </row>
    <row r="406" spans="1:13">
      <c r="A406" s="7" t="s">
        <v>651</v>
      </c>
      <c r="B406" s="9" t="s">
        <v>652</v>
      </c>
      <c r="C406" s="7">
        <v>2021</v>
      </c>
      <c r="D406" s="7" t="s">
        <v>174</v>
      </c>
      <c r="E406" s="7" t="s">
        <v>29</v>
      </c>
      <c r="F406" s="7" t="s">
        <v>41</v>
      </c>
      <c r="G406" s="7">
        <v>772</v>
      </c>
      <c r="H406" s="7">
        <v>24</v>
      </c>
      <c r="I406" s="7" t="s">
        <v>35</v>
      </c>
      <c r="J406" s="7">
        <v>0</v>
      </c>
      <c r="K406" s="7">
        <v>1</v>
      </c>
      <c r="L406" s="7">
        <v>2.2999999999999998</v>
      </c>
      <c r="M406" t="str">
        <f t="shared" si="6"/>
        <v>medium risk</v>
      </c>
    </row>
    <row r="407" spans="1:13">
      <c r="A407" s="7" t="s">
        <v>653</v>
      </c>
      <c r="B407" s="9">
        <v>44504</v>
      </c>
      <c r="C407" s="7">
        <v>2021</v>
      </c>
      <c r="D407" s="7" t="s">
        <v>156</v>
      </c>
      <c r="E407" s="7" t="s">
        <v>34</v>
      </c>
      <c r="F407" s="7" t="s">
        <v>24</v>
      </c>
      <c r="G407" s="7">
        <v>232</v>
      </c>
      <c r="H407" s="7">
        <v>26</v>
      </c>
      <c r="I407" s="7" t="s">
        <v>30</v>
      </c>
      <c r="J407" s="7">
        <v>0</v>
      </c>
      <c r="K407" s="7">
        <v>0</v>
      </c>
      <c r="L407" s="7">
        <v>-4.0999999999999996</v>
      </c>
      <c r="M407" t="str">
        <f t="shared" si="6"/>
        <v>low risk</v>
      </c>
    </row>
    <row r="408" spans="1:13">
      <c r="A408" s="7" t="s">
        <v>654</v>
      </c>
      <c r="B408" s="9" t="s">
        <v>655</v>
      </c>
      <c r="C408" s="7">
        <v>2021</v>
      </c>
      <c r="D408" s="7" t="s">
        <v>68</v>
      </c>
      <c r="E408" s="7" t="s">
        <v>29</v>
      </c>
      <c r="F408" s="7" t="s">
        <v>24</v>
      </c>
      <c r="G408" s="7">
        <v>182</v>
      </c>
      <c r="H408" s="7">
        <v>26</v>
      </c>
      <c r="I408" s="7" t="s">
        <v>25</v>
      </c>
      <c r="J408" s="7">
        <v>1</v>
      </c>
      <c r="K408" s="7">
        <v>0</v>
      </c>
      <c r="L408" s="7">
        <v>14.2</v>
      </c>
      <c r="M408" t="str">
        <f t="shared" si="6"/>
        <v>low risk</v>
      </c>
    </row>
    <row r="409" spans="1:13">
      <c r="A409" s="7" t="s">
        <v>656</v>
      </c>
      <c r="B409" s="9" t="s">
        <v>657</v>
      </c>
      <c r="C409" s="7">
        <v>2021</v>
      </c>
      <c r="D409" s="7" t="s">
        <v>22</v>
      </c>
      <c r="E409" s="7" t="s">
        <v>47</v>
      </c>
      <c r="F409" s="7" t="s">
        <v>24</v>
      </c>
      <c r="G409" s="7">
        <v>187</v>
      </c>
      <c r="H409" s="7">
        <v>9</v>
      </c>
      <c r="I409" s="7" t="s">
        <v>25</v>
      </c>
      <c r="J409" s="7">
        <v>1</v>
      </c>
      <c r="K409" s="7">
        <v>0</v>
      </c>
      <c r="L409" s="7">
        <v>5.6</v>
      </c>
      <c r="M409" t="str">
        <f t="shared" si="6"/>
        <v>low risk</v>
      </c>
    </row>
    <row r="410" spans="1:13">
      <c r="A410" s="7" t="s">
        <v>658</v>
      </c>
      <c r="B410" s="9" t="s">
        <v>659</v>
      </c>
      <c r="C410" s="7">
        <v>2021</v>
      </c>
      <c r="D410" s="7" t="s">
        <v>101</v>
      </c>
      <c r="E410" s="7" t="s">
        <v>29</v>
      </c>
      <c r="F410" s="7" t="s">
        <v>41</v>
      </c>
      <c r="G410" s="7">
        <v>1528</v>
      </c>
      <c r="H410" s="7">
        <v>38</v>
      </c>
      <c r="I410" s="7" t="s">
        <v>30</v>
      </c>
      <c r="J410" s="7">
        <v>0</v>
      </c>
      <c r="K410" s="7">
        <v>0</v>
      </c>
      <c r="L410" s="7">
        <v>-5.2</v>
      </c>
      <c r="M410" t="str">
        <f t="shared" si="6"/>
        <v>medium risk</v>
      </c>
    </row>
    <row r="411" spans="1:13">
      <c r="A411" s="7" t="s">
        <v>660</v>
      </c>
      <c r="B411" s="9">
        <v>44260</v>
      </c>
      <c r="C411" s="7">
        <v>2021</v>
      </c>
      <c r="D411" s="7" t="s">
        <v>101</v>
      </c>
      <c r="E411" s="7" t="s">
        <v>76</v>
      </c>
      <c r="F411" s="7" t="s">
        <v>41</v>
      </c>
      <c r="G411" s="7">
        <v>1255</v>
      </c>
      <c r="H411" s="7">
        <v>37</v>
      </c>
      <c r="I411" s="7" t="s">
        <v>35</v>
      </c>
      <c r="J411" s="7">
        <v>0</v>
      </c>
      <c r="K411" s="7">
        <v>1</v>
      </c>
      <c r="L411" s="7">
        <v>-21.5</v>
      </c>
      <c r="M411" t="str">
        <f t="shared" si="6"/>
        <v>medium risk</v>
      </c>
    </row>
    <row r="412" spans="1:13">
      <c r="A412" s="7" t="s">
        <v>661</v>
      </c>
      <c r="B412" s="9">
        <v>44505</v>
      </c>
      <c r="C412" s="7">
        <v>2021</v>
      </c>
      <c r="D412" s="7" t="s">
        <v>28</v>
      </c>
      <c r="E412" s="7" t="s">
        <v>34</v>
      </c>
      <c r="F412" s="7" t="s">
        <v>41</v>
      </c>
      <c r="G412" s="7">
        <v>2710</v>
      </c>
      <c r="H412" s="7">
        <v>42</v>
      </c>
      <c r="I412" s="7" t="s">
        <v>35</v>
      </c>
      <c r="J412" s="7">
        <v>0</v>
      </c>
      <c r="K412" s="7">
        <v>1</v>
      </c>
      <c r="L412" s="7">
        <v>-14.2</v>
      </c>
      <c r="M412" t="str">
        <f t="shared" si="6"/>
        <v>high risk</v>
      </c>
    </row>
    <row r="413" spans="1:13">
      <c r="A413" s="7" t="s">
        <v>662</v>
      </c>
      <c r="B413" s="9" t="s">
        <v>663</v>
      </c>
      <c r="C413" s="7">
        <v>2021</v>
      </c>
      <c r="D413" s="7" t="s">
        <v>51</v>
      </c>
      <c r="E413" s="7" t="s">
        <v>34</v>
      </c>
      <c r="F413" s="7" t="s">
        <v>41</v>
      </c>
      <c r="G413" s="7">
        <v>1127</v>
      </c>
      <c r="H413" s="7">
        <v>42</v>
      </c>
      <c r="I413" s="7" t="s">
        <v>35</v>
      </c>
      <c r="J413" s="7">
        <v>0</v>
      </c>
      <c r="K413" s="7">
        <v>1</v>
      </c>
      <c r="L413" s="7">
        <v>-0.8</v>
      </c>
      <c r="M413" t="str">
        <f t="shared" si="6"/>
        <v>medium risk</v>
      </c>
    </row>
    <row r="414" spans="1:13">
      <c r="A414" s="7" t="s">
        <v>664</v>
      </c>
      <c r="B414" s="9">
        <v>44202</v>
      </c>
      <c r="C414" s="7">
        <v>2021</v>
      </c>
      <c r="D414" s="7" t="s">
        <v>44</v>
      </c>
      <c r="E414" s="7" t="s">
        <v>34</v>
      </c>
      <c r="F414" s="7" t="s">
        <v>41</v>
      </c>
      <c r="G414" s="7">
        <v>889</v>
      </c>
      <c r="H414" s="7">
        <v>40</v>
      </c>
      <c r="I414" s="7" t="s">
        <v>35</v>
      </c>
      <c r="J414" s="7">
        <v>0</v>
      </c>
      <c r="K414" s="7">
        <v>1</v>
      </c>
      <c r="L414" s="7">
        <v>-10.4</v>
      </c>
      <c r="M414" t="str">
        <f t="shared" si="6"/>
        <v>medium risk</v>
      </c>
    </row>
    <row r="415" spans="1:13">
      <c r="A415" s="7" t="s">
        <v>665</v>
      </c>
      <c r="B415" s="9" t="s">
        <v>666</v>
      </c>
      <c r="C415" s="7">
        <v>2021</v>
      </c>
      <c r="D415" s="7" t="s">
        <v>68</v>
      </c>
      <c r="E415" s="7" t="s">
        <v>47</v>
      </c>
      <c r="F415" s="7" t="s">
        <v>24</v>
      </c>
      <c r="G415" s="7">
        <v>467</v>
      </c>
      <c r="H415" s="7">
        <v>24</v>
      </c>
      <c r="I415" s="7" t="s">
        <v>35</v>
      </c>
      <c r="J415" s="7">
        <v>0</v>
      </c>
      <c r="K415" s="7">
        <v>1</v>
      </c>
      <c r="L415" s="7">
        <v>-7</v>
      </c>
      <c r="M415" t="str">
        <f t="shared" si="6"/>
        <v>low risk</v>
      </c>
    </row>
    <row r="416" spans="1:13">
      <c r="A416" s="7" t="s">
        <v>667</v>
      </c>
      <c r="B416" s="9">
        <v>44203</v>
      </c>
      <c r="C416" s="7">
        <v>2021</v>
      </c>
      <c r="D416" s="7" t="s">
        <v>22</v>
      </c>
      <c r="E416" s="7" t="s">
        <v>76</v>
      </c>
      <c r="F416" s="7" t="s">
        <v>24</v>
      </c>
      <c r="G416" s="7">
        <v>376</v>
      </c>
      <c r="H416" s="7">
        <v>15</v>
      </c>
      <c r="I416" s="7" t="s">
        <v>30</v>
      </c>
      <c r="J416" s="7">
        <v>0</v>
      </c>
      <c r="K416" s="7">
        <v>0</v>
      </c>
      <c r="L416" s="7">
        <v>-5.8</v>
      </c>
      <c r="M416" t="str">
        <f t="shared" si="6"/>
        <v>low risk</v>
      </c>
    </row>
    <row r="417" spans="1:13">
      <c r="A417" s="7" t="s">
        <v>668</v>
      </c>
      <c r="B417" s="9">
        <v>44446</v>
      </c>
      <c r="C417" s="7">
        <v>2021</v>
      </c>
      <c r="D417" s="7" t="s">
        <v>66</v>
      </c>
      <c r="E417" s="7" t="s">
        <v>34</v>
      </c>
      <c r="F417" s="7" t="s">
        <v>24</v>
      </c>
      <c r="G417" s="7">
        <v>367</v>
      </c>
      <c r="H417" s="7">
        <v>21</v>
      </c>
      <c r="I417" s="7" t="s">
        <v>35</v>
      </c>
      <c r="J417" s="7">
        <v>0</v>
      </c>
      <c r="K417" s="7">
        <v>1</v>
      </c>
      <c r="L417" s="7">
        <v>-19.5</v>
      </c>
      <c r="M417" t="str">
        <f t="shared" si="6"/>
        <v>low risk</v>
      </c>
    </row>
    <row r="418" spans="1:13">
      <c r="A418" s="7" t="s">
        <v>669</v>
      </c>
      <c r="B418" s="9" t="s">
        <v>670</v>
      </c>
      <c r="C418" s="7">
        <v>2021</v>
      </c>
      <c r="D418" s="7" t="s">
        <v>75</v>
      </c>
      <c r="E418" s="7" t="s">
        <v>34</v>
      </c>
      <c r="F418" s="7" t="s">
        <v>24</v>
      </c>
      <c r="G418" s="7">
        <v>66</v>
      </c>
      <c r="H418" s="7">
        <v>16</v>
      </c>
      <c r="I418" s="7" t="s">
        <v>30</v>
      </c>
      <c r="J418" s="7">
        <v>0</v>
      </c>
      <c r="K418" s="7">
        <v>0</v>
      </c>
      <c r="L418" s="7">
        <v>-0.6</v>
      </c>
      <c r="M418" t="str">
        <f t="shared" si="6"/>
        <v>low risk</v>
      </c>
    </row>
    <row r="419" spans="1:13">
      <c r="A419" s="7" t="s">
        <v>671</v>
      </c>
      <c r="B419" s="9">
        <v>44263</v>
      </c>
      <c r="C419" s="7">
        <v>2021</v>
      </c>
      <c r="D419" s="7" t="s">
        <v>40</v>
      </c>
      <c r="E419" s="7" t="s">
        <v>34</v>
      </c>
      <c r="F419" s="7" t="s">
        <v>24</v>
      </c>
      <c r="G419" s="7">
        <v>248</v>
      </c>
      <c r="H419" s="7">
        <v>12</v>
      </c>
      <c r="I419" s="7" t="s">
        <v>35</v>
      </c>
      <c r="J419" s="7">
        <v>0</v>
      </c>
      <c r="K419" s="7">
        <v>1</v>
      </c>
      <c r="L419" s="7">
        <v>-13.8</v>
      </c>
      <c r="M419" t="str">
        <f t="shared" si="6"/>
        <v>low risk</v>
      </c>
    </row>
    <row r="420" spans="1:13">
      <c r="A420" s="7" t="s">
        <v>672</v>
      </c>
      <c r="B420" s="9" t="s">
        <v>673</v>
      </c>
      <c r="C420" s="7">
        <v>2021</v>
      </c>
      <c r="D420" s="7" t="s">
        <v>22</v>
      </c>
      <c r="E420" s="7" t="s">
        <v>34</v>
      </c>
      <c r="F420" s="7" t="s">
        <v>24</v>
      </c>
      <c r="G420" s="7">
        <v>241</v>
      </c>
      <c r="H420" s="7">
        <v>19</v>
      </c>
      <c r="I420" s="7" t="s">
        <v>25</v>
      </c>
      <c r="J420" s="7">
        <v>1</v>
      </c>
      <c r="K420" s="7">
        <v>0</v>
      </c>
      <c r="L420" s="7">
        <v>11.3</v>
      </c>
      <c r="M420" t="str">
        <f t="shared" si="6"/>
        <v>low risk</v>
      </c>
    </row>
    <row r="421" spans="1:13">
      <c r="A421" s="7" t="s">
        <v>674</v>
      </c>
      <c r="B421" s="9" t="s">
        <v>675</v>
      </c>
      <c r="C421" s="7">
        <v>2021</v>
      </c>
      <c r="D421" s="7" t="s">
        <v>33</v>
      </c>
      <c r="E421" s="7" t="s">
        <v>29</v>
      </c>
      <c r="F421" s="7" t="s">
        <v>24</v>
      </c>
      <c r="G421" s="7">
        <v>589</v>
      </c>
      <c r="H421" s="7">
        <v>15</v>
      </c>
      <c r="I421" s="7" t="s">
        <v>30</v>
      </c>
      <c r="J421" s="7">
        <v>0</v>
      </c>
      <c r="K421" s="7">
        <v>0</v>
      </c>
      <c r="L421" s="7">
        <v>-0.9</v>
      </c>
      <c r="M421" t="str">
        <f t="shared" si="6"/>
        <v>medium risk</v>
      </c>
    </row>
    <row r="422" spans="1:13">
      <c r="A422" s="7" t="s">
        <v>676</v>
      </c>
      <c r="B422" s="9" t="s">
        <v>677</v>
      </c>
      <c r="C422" s="7">
        <v>2021</v>
      </c>
      <c r="D422" s="7" t="s">
        <v>33</v>
      </c>
      <c r="E422" s="7" t="s">
        <v>34</v>
      </c>
      <c r="F422" s="7" t="s">
        <v>24</v>
      </c>
      <c r="G422" s="7">
        <v>112</v>
      </c>
      <c r="H422" s="7">
        <v>21</v>
      </c>
      <c r="I422" s="7" t="s">
        <v>25</v>
      </c>
      <c r="J422" s="7">
        <v>1</v>
      </c>
      <c r="K422" s="7">
        <v>0</v>
      </c>
      <c r="L422" s="7">
        <v>2.4</v>
      </c>
      <c r="M422" t="str">
        <f t="shared" si="6"/>
        <v>low risk</v>
      </c>
    </row>
    <row r="423" spans="1:13">
      <c r="A423" s="7" t="s">
        <v>678</v>
      </c>
      <c r="B423" s="9">
        <v>44448</v>
      </c>
      <c r="C423" s="7">
        <v>2021</v>
      </c>
      <c r="D423" s="7" t="s">
        <v>58</v>
      </c>
      <c r="E423" s="7" t="s">
        <v>47</v>
      </c>
      <c r="F423" s="7" t="s">
        <v>24</v>
      </c>
      <c r="G423" s="7">
        <v>320</v>
      </c>
      <c r="H423" s="7">
        <v>18</v>
      </c>
      <c r="I423" s="7" t="s">
        <v>25</v>
      </c>
      <c r="J423" s="7">
        <v>1</v>
      </c>
      <c r="K423" s="7">
        <v>0</v>
      </c>
      <c r="L423" s="7">
        <v>8.1</v>
      </c>
      <c r="M423" t="str">
        <f t="shared" si="6"/>
        <v>low risk</v>
      </c>
    </row>
    <row r="424" spans="1:13">
      <c r="A424" s="7" t="s">
        <v>679</v>
      </c>
      <c r="B424" s="9" t="s">
        <v>680</v>
      </c>
      <c r="C424" s="7">
        <v>2021</v>
      </c>
      <c r="D424" s="7" t="s">
        <v>96</v>
      </c>
      <c r="E424" s="7" t="s">
        <v>54</v>
      </c>
      <c r="F424" s="7" t="s">
        <v>24</v>
      </c>
      <c r="G424" s="7">
        <v>135</v>
      </c>
      <c r="H424" s="7">
        <v>16</v>
      </c>
      <c r="I424" s="7" t="s">
        <v>25</v>
      </c>
      <c r="J424" s="7">
        <v>1</v>
      </c>
      <c r="K424" s="7">
        <v>0</v>
      </c>
      <c r="L424" s="7">
        <v>5.0999999999999996</v>
      </c>
      <c r="M424" t="str">
        <f t="shared" si="6"/>
        <v>low risk</v>
      </c>
    </row>
    <row r="425" spans="1:13">
      <c r="A425" s="7" t="s">
        <v>681</v>
      </c>
      <c r="B425" s="9" t="s">
        <v>682</v>
      </c>
      <c r="C425" s="7">
        <v>2021</v>
      </c>
      <c r="D425" s="7" t="s">
        <v>194</v>
      </c>
      <c r="E425" s="7" t="s">
        <v>47</v>
      </c>
      <c r="F425" s="7" t="s">
        <v>24</v>
      </c>
      <c r="G425" s="7">
        <v>394</v>
      </c>
      <c r="H425" s="7">
        <v>22</v>
      </c>
      <c r="I425" s="7" t="s">
        <v>25</v>
      </c>
      <c r="J425" s="7">
        <v>1</v>
      </c>
      <c r="K425" s="7">
        <v>0</v>
      </c>
      <c r="L425" s="7">
        <v>6.4</v>
      </c>
      <c r="M425" t="str">
        <f t="shared" si="6"/>
        <v>low risk</v>
      </c>
    </row>
    <row r="426" spans="1:13">
      <c r="A426" s="7" t="s">
        <v>683</v>
      </c>
      <c r="B426" s="9" t="s">
        <v>684</v>
      </c>
      <c r="C426" s="7">
        <v>2021</v>
      </c>
      <c r="D426" s="7" t="s">
        <v>37</v>
      </c>
      <c r="E426" s="7" t="s">
        <v>34</v>
      </c>
      <c r="F426" s="7" t="s">
        <v>41</v>
      </c>
      <c r="G426" s="7">
        <v>1252</v>
      </c>
      <c r="H426" s="7">
        <v>36</v>
      </c>
      <c r="I426" s="7" t="s">
        <v>25</v>
      </c>
      <c r="J426" s="7">
        <v>1</v>
      </c>
      <c r="K426" s="7">
        <v>0</v>
      </c>
      <c r="L426" s="7">
        <v>1.2</v>
      </c>
      <c r="M426" t="str">
        <f t="shared" si="6"/>
        <v>medium risk</v>
      </c>
    </row>
    <row r="427" spans="1:13">
      <c r="A427" s="7" t="s">
        <v>685</v>
      </c>
      <c r="B427" s="9" t="s">
        <v>686</v>
      </c>
      <c r="C427" s="7">
        <v>2021</v>
      </c>
      <c r="D427" s="7" t="s">
        <v>40</v>
      </c>
      <c r="E427" s="7" t="s">
        <v>83</v>
      </c>
      <c r="F427" s="7" t="s">
        <v>24</v>
      </c>
      <c r="G427" s="7">
        <v>167</v>
      </c>
      <c r="H427" s="7">
        <v>13</v>
      </c>
      <c r="I427" s="7" t="s">
        <v>25</v>
      </c>
      <c r="J427" s="7">
        <v>1</v>
      </c>
      <c r="K427" s="7">
        <v>0</v>
      </c>
      <c r="L427" s="7">
        <v>-3.2</v>
      </c>
      <c r="M427" t="str">
        <f t="shared" si="6"/>
        <v>low risk</v>
      </c>
    </row>
    <row r="428" spans="1:13">
      <c r="A428" s="7" t="s">
        <v>687</v>
      </c>
      <c r="B428" s="9">
        <v>44207</v>
      </c>
      <c r="C428" s="7">
        <v>2021</v>
      </c>
      <c r="D428" s="7" t="s">
        <v>22</v>
      </c>
      <c r="E428" s="7" t="s">
        <v>54</v>
      </c>
      <c r="F428" s="7" t="s">
        <v>24</v>
      </c>
      <c r="G428" s="7">
        <v>190</v>
      </c>
      <c r="H428" s="7">
        <v>15</v>
      </c>
      <c r="I428" s="7" t="s">
        <v>35</v>
      </c>
      <c r="J428" s="7">
        <v>0</v>
      </c>
      <c r="K428" s="7">
        <v>1</v>
      </c>
      <c r="L428" s="7">
        <v>-20</v>
      </c>
      <c r="M428" t="str">
        <f t="shared" si="6"/>
        <v>low risk</v>
      </c>
    </row>
    <row r="429" spans="1:13">
      <c r="A429" s="7" t="s">
        <v>688</v>
      </c>
      <c r="B429" s="9">
        <v>44238</v>
      </c>
      <c r="C429" s="7">
        <v>2021</v>
      </c>
      <c r="D429" s="7" t="s">
        <v>66</v>
      </c>
      <c r="E429" s="7" t="s">
        <v>34</v>
      </c>
      <c r="F429" s="7" t="s">
        <v>24</v>
      </c>
      <c r="G429" s="7">
        <v>244</v>
      </c>
      <c r="H429" s="7">
        <v>15</v>
      </c>
      <c r="I429" s="7" t="s">
        <v>35</v>
      </c>
      <c r="J429" s="7">
        <v>0</v>
      </c>
      <c r="K429" s="7">
        <v>1</v>
      </c>
      <c r="L429" s="7">
        <v>-20.100000000000001</v>
      </c>
      <c r="M429" t="str">
        <f t="shared" si="6"/>
        <v>low risk</v>
      </c>
    </row>
    <row r="430" spans="1:13">
      <c r="A430" s="7" t="s">
        <v>689</v>
      </c>
      <c r="B430" s="9">
        <v>44297</v>
      </c>
      <c r="C430" s="7">
        <v>2021</v>
      </c>
      <c r="D430" s="7" t="s">
        <v>33</v>
      </c>
      <c r="E430" s="7" t="s">
        <v>38</v>
      </c>
      <c r="F430" s="7" t="s">
        <v>24</v>
      </c>
      <c r="G430" s="7">
        <v>149</v>
      </c>
      <c r="H430" s="7">
        <v>10</v>
      </c>
      <c r="I430" s="7" t="s">
        <v>25</v>
      </c>
      <c r="J430" s="7">
        <v>1</v>
      </c>
      <c r="K430" s="7">
        <v>0</v>
      </c>
      <c r="L430" s="7">
        <v>9.5</v>
      </c>
      <c r="M430" t="str">
        <f t="shared" si="6"/>
        <v>low risk</v>
      </c>
    </row>
    <row r="431" spans="1:13">
      <c r="A431" s="7" t="s">
        <v>690</v>
      </c>
      <c r="B431" s="9">
        <v>44358</v>
      </c>
      <c r="C431" s="7">
        <v>2021</v>
      </c>
      <c r="D431" s="7" t="s">
        <v>58</v>
      </c>
      <c r="E431" s="7" t="s">
        <v>47</v>
      </c>
      <c r="F431" s="7" t="s">
        <v>41</v>
      </c>
      <c r="G431" s="7">
        <v>1187</v>
      </c>
      <c r="H431" s="7">
        <v>33</v>
      </c>
      <c r="I431" s="7" t="s">
        <v>25</v>
      </c>
      <c r="J431" s="7">
        <v>1</v>
      </c>
      <c r="K431" s="7">
        <v>0</v>
      </c>
      <c r="L431" s="7">
        <v>-0.3</v>
      </c>
      <c r="M431" t="str">
        <f t="shared" si="6"/>
        <v>medium risk</v>
      </c>
    </row>
    <row r="432" spans="1:13">
      <c r="A432" s="7" t="s">
        <v>691</v>
      </c>
      <c r="B432" s="9" t="s">
        <v>692</v>
      </c>
      <c r="C432" s="7">
        <v>2021</v>
      </c>
      <c r="D432" s="7" t="s">
        <v>96</v>
      </c>
      <c r="E432" s="7" t="s">
        <v>34</v>
      </c>
      <c r="F432" s="7" t="s">
        <v>24</v>
      </c>
      <c r="G432" s="7">
        <v>405</v>
      </c>
      <c r="H432" s="7">
        <v>24</v>
      </c>
      <c r="I432" s="7" t="s">
        <v>25</v>
      </c>
      <c r="J432" s="7">
        <v>1</v>
      </c>
      <c r="K432" s="7">
        <v>0</v>
      </c>
      <c r="L432" s="7">
        <v>5.5</v>
      </c>
      <c r="M432" t="str">
        <f t="shared" si="6"/>
        <v>low risk</v>
      </c>
    </row>
    <row r="433" spans="1:13">
      <c r="A433" s="7" t="s">
        <v>693</v>
      </c>
      <c r="B433" s="9">
        <v>44359</v>
      </c>
      <c r="C433" s="7">
        <v>2021</v>
      </c>
      <c r="D433" s="7" t="s">
        <v>156</v>
      </c>
      <c r="E433" s="7" t="s">
        <v>83</v>
      </c>
      <c r="F433" s="7" t="s">
        <v>24</v>
      </c>
      <c r="G433" s="7">
        <v>301</v>
      </c>
      <c r="H433" s="7">
        <v>16</v>
      </c>
      <c r="I433" s="7" t="s">
        <v>25</v>
      </c>
      <c r="J433" s="7">
        <v>1</v>
      </c>
      <c r="K433" s="7">
        <v>0</v>
      </c>
      <c r="L433" s="7">
        <v>11.7</v>
      </c>
      <c r="M433" t="str">
        <f t="shared" si="6"/>
        <v>low risk</v>
      </c>
    </row>
    <row r="434" spans="1:13">
      <c r="A434" s="7" t="s">
        <v>694</v>
      </c>
      <c r="B434" s="9">
        <v>44563</v>
      </c>
      <c r="C434" s="7">
        <v>2022</v>
      </c>
      <c r="D434" s="7" t="s">
        <v>46</v>
      </c>
      <c r="E434" s="7" t="s">
        <v>76</v>
      </c>
      <c r="F434" s="7" t="s">
        <v>41</v>
      </c>
      <c r="G434" s="7">
        <v>317</v>
      </c>
      <c r="H434" s="7">
        <v>42</v>
      </c>
      <c r="I434" s="7" t="s">
        <v>25</v>
      </c>
      <c r="J434" s="7">
        <v>1</v>
      </c>
      <c r="K434" s="7">
        <v>0</v>
      </c>
      <c r="L434" s="7">
        <v>-0.4</v>
      </c>
      <c r="M434" t="str">
        <f t="shared" si="6"/>
        <v>low risk</v>
      </c>
    </row>
    <row r="435" spans="1:13">
      <c r="A435" s="7" t="s">
        <v>695</v>
      </c>
      <c r="B435" s="9">
        <v>44744</v>
      </c>
      <c r="C435" s="7">
        <v>2022</v>
      </c>
      <c r="D435" s="7" t="s">
        <v>58</v>
      </c>
      <c r="E435" s="7" t="s">
        <v>76</v>
      </c>
      <c r="F435" s="7" t="s">
        <v>41</v>
      </c>
      <c r="G435" s="7">
        <v>775</v>
      </c>
      <c r="H435" s="7">
        <v>34</v>
      </c>
      <c r="I435" s="7" t="s">
        <v>30</v>
      </c>
      <c r="J435" s="7">
        <v>0</v>
      </c>
      <c r="K435" s="7">
        <v>0</v>
      </c>
      <c r="L435" s="7">
        <v>4</v>
      </c>
      <c r="M435" t="str">
        <f t="shared" si="6"/>
        <v>medium risk</v>
      </c>
    </row>
    <row r="436" spans="1:13">
      <c r="A436" s="7" t="s">
        <v>696</v>
      </c>
      <c r="B436" s="9">
        <v>44775</v>
      </c>
      <c r="C436" s="7">
        <v>2022</v>
      </c>
      <c r="D436" s="7" t="s">
        <v>22</v>
      </c>
      <c r="E436" s="7" t="s">
        <v>34</v>
      </c>
      <c r="F436" s="7" t="s">
        <v>41</v>
      </c>
      <c r="G436" s="7">
        <v>1919</v>
      </c>
      <c r="H436" s="7">
        <v>30</v>
      </c>
      <c r="I436" s="7" t="s">
        <v>35</v>
      </c>
      <c r="J436" s="7">
        <v>0</v>
      </c>
      <c r="K436" s="7">
        <v>1</v>
      </c>
      <c r="L436" s="7">
        <v>-18</v>
      </c>
      <c r="M436" t="str">
        <f t="shared" si="6"/>
        <v>medium risk</v>
      </c>
    </row>
    <row r="437" spans="1:13">
      <c r="A437" s="7" t="s">
        <v>697</v>
      </c>
      <c r="B437" s="9">
        <v>44806</v>
      </c>
      <c r="C437" s="7">
        <v>2022</v>
      </c>
      <c r="D437" s="7" t="s">
        <v>194</v>
      </c>
      <c r="E437" s="7" t="s">
        <v>34</v>
      </c>
      <c r="F437" s="7" t="s">
        <v>41</v>
      </c>
      <c r="G437" s="7">
        <v>2360</v>
      </c>
      <c r="H437" s="7">
        <v>38</v>
      </c>
      <c r="I437" s="7" t="s">
        <v>35</v>
      </c>
      <c r="J437" s="7">
        <v>0</v>
      </c>
      <c r="K437" s="7">
        <v>1</v>
      </c>
      <c r="L437" s="7">
        <v>-6.1</v>
      </c>
      <c r="M437" t="str">
        <f t="shared" si="6"/>
        <v>high risk</v>
      </c>
    </row>
    <row r="438" spans="1:13">
      <c r="A438" s="7" t="s">
        <v>698</v>
      </c>
      <c r="B438" s="9" t="s">
        <v>699</v>
      </c>
      <c r="C438" s="7">
        <v>2022</v>
      </c>
      <c r="D438" s="7" t="s">
        <v>66</v>
      </c>
      <c r="E438" s="7" t="s">
        <v>29</v>
      </c>
      <c r="F438" s="7" t="s">
        <v>24</v>
      </c>
      <c r="G438" s="7">
        <v>268</v>
      </c>
      <c r="H438" s="7">
        <v>24</v>
      </c>
      <c r="I438" s="7" t="s">
        <v>25</v>
      </c>
      <c r="J438" s="7">
        <v>1</v>
      </c>
      <c r="K438" s="7">
        <v>0</v>
      </c>
      <c r="L438" s="7">
        <v>2</v>
      </c>
      <c r="M438" t="str">
        <f t="shared" si="6"/>
        <v>low risk</v>
      </c>
    </row>
    <row r="439" spans="1:13">
      <c r="A439" s="7" t="s">
        <v>700</v>
      </c>
      <c r="B439" s="9" t="s">
        <v>701</v>
      </c>
      <c r="C439" s="7">
        <v>2022</v>
      </c>
      <c r="D439" s="7" t="s">
        <v>37</v>
      </c>
      <c r="E439" s="7" t="s">
        <v>34</v>
      </c>
      <c r="F439" s="7" t="s">
        <v>24</v>
      </c>
      <c r="G439" s="7">
        <v>125</v>
      </c>
      <c r="H439" s="7">
        <v>17</v>
      </c>
      <c r="I439" s="7" t="s">
        <v>25</v>
      </c>
      <c r="J439" s="7">
        <v>1</v>
      </c>
      <c r="K439" s="7">
        <v>0</v>
      </c>
      <c r="L439" s="7">
        <v>9.6</v>
      </c>
      <c r="M439" t="str">
        <f t="shared" si="6"/>
        <v>low risk</v>
      </c>
    </row>
    <row r="440" spans="1:13">
      <c r="A440" s="7" t="s">
        <v>702</v>
      </c>
      <c r="B440" s="9" t="s">
        <v>703</v>
      </c>
      <c r="C440" s="7">
        <v>2022</v>
      </c>
      <c r="D440" s="7" t="s">
        <v>115</v>
      </c>
      <c r="E440" s="7" t="s">
        <v>38</v>
      </c>
      <c r="F440" s="7" t="s">
        <v>24</v>
      </c>
      <c r="G440" s="7">
        <v>200</v>
      </c>
      <c r="H440" s="7">
        <v>20</v>
      </c>
      <c r="I440" s="7" t="s">
        <v>25</v>
      </c>
      <c r="J440" s="7">
        <v>1</v>
      </c>
      <c r="K440" s="7">
        <v>0</v>
      </c>
      <c r="L440" s="7">
        <v>17.399999999999999</v>
      </c>
      <c r="M440" t="str">
        <f t="shared" si="6"/>
        <v>low risk</v>
      </c>
    </row>
    <row r="441" spans="1:13">
      <c r="A441" s="7" t="s">
        <v>704</v>
      </c>
      <c r="B441" s="9" t="s">
        <v>703</v>
      </c>
      <c r="C441" s="7">
        <v>2022</v>
      </c>
      <c r="D441" s="7" t="s">
        <v>144</v>
      </c>
      <c r="E441" s="7" t="s">
        <v>54</v>
      </c>
      <c r="F441" s="7" t="s">
        <v>24</v>
      </c>
      <c r="G441" s="7">
        <v>141</v>
      </c>
      <c r="H441" s="7">
        <v>21</v>
      </c>
      <c r="I441" s="7" t="s">
        <v>25</v>
      </c>
      <c r="J441" s="7">
        <v>1</v>
      </c>
      <c r="K441" s="7">
        <v>0</v>
      </c>
      <c r="L441" s="7">
        <v>6.9</v>
      </c>
      <c r="M441" t="str">
        <f t="shared" si="6"/>
        <v>low risk</v>
      </c>
    </row>
    <row r="442" spans="1:13">
      <c r="A442" s="7" t="s">
        <v>705</v>
      </c>
      <c r="B442" s="9" t="s">
        <v>706</v>
      </c>
      <c r="C442" s="7">
        <v>2022</v>
      </c>
      <c r="D442" s="7" t="s">
        <v>68</v>
      </c>
      <c r="E442" s="7" t="s">
        <v>29</v>
      </c>
      <c r="F442" s="7" t="s">
        <v>41</v>
      </c>
      <c r="G442" s="7">
        <v>766</v>
      </c>
      <c r="H442" s="7">
        <v>38</v>
      </c>
      <c r="I442" s="7" t="s">
        <v>30</v>
      </c>
      <c r="J442" s="7">
        <v>0</v>
      </c>
      <c r="K442" s="7">
        <v>0</v>
      </c>
      <c r="L442" s="7">
        <v>-11</v>
      </c>
      <c r="M442" t="str">
        <f t="shared" si="6"/>
        <v>medium risk</v>
      </c>
    </row>
    <row r="443" spans="1:13">
      <c r="A443" s="7" t="s">
        <v>707</v>
      </c>
      <c r="B443" s="9">
        <v>44776</v>
      </c>
      <c r="C443" s="7">
        <v>2022</v>
      </c>
      <c r="D443" s="7" t="s">
        <v>75</v>
      </c>
      <c r="E443" s="7" t="s">
        <v>47</v>
      </c>
      <c r="F443" s="7" t="s">
        <v>24</v>
      </c>
      <c r="G443" s="7">
        <v>236</v>
      </c>
      <c r="H443" s="7">
        <v>24</v>
      </c>
      <c r="I443" s="7" t="s">
        <v>25</v>
      </c>
      <c r="J443" s="7">
        <v>1</v>
      </c>
      <c r="K443" s="7">
        <v>0</v>
      </c>
      <c r="L443" s="7">
        <v>-4.5999999999999996</v>
      </c>
      <c r="M443" t="str">
        <f t="shared" si="6"/>
        <v>low risk</v>
      </c>
    </row>
    <row r="444" spans="1:13">
      <c r="A444" s="7" t="s">
        <v>708</v>
      </c>
      <c r="B444" s="9" t="s">
        <v>709</v>
      </c>
      <c r="C444" s="7">
        <v>2022</v>
      </c>
      <c r="D444" s="7" t="s">
        <v>33</v>
      </c>
      <c r="E444" s="7" t="s">
        <v>34</v>
      </c>
      <c r="F444" s="7" t="s">
        <v>41</v>
      </c>
      <c r="G444" s="7">
        <v>539</v>
      </c>
      <c r="H444" s="7">
        <v>45</v>
      </c>
      <c r="I444" s="7" t="s">
        <v>35</v>
      </c>
      <c r="J444" s="7">
        <v>0</v>
      </c>
      <c r="K444" s="7">
        <v>1</v>
      </c>
      <c r="L444" s="7">
        <v>-19.3</v>
      </c>
      <c r="M444" t="str">
        <f t="shared" si="6"/>
        <v>medium risk</v>
      </c>
    </row>
    <row r="445" spans="1:13">
      <c r="A445" s="7" t="s">
        <v>710</v>
      </c>
      <c r="B445" s="9">
        <v>44685</v>
      </c>
      <c r="C445" s="7">
        <v>2022</v>
      </c>
      <c r="D445" s="7" t="s">
        <v>33</v>
      </c>
      <c r="E445" s="7" t="s">
        <v>38</v>
      </c>
      <c r="F445" s="7" t="s">
        <v>24</v>
      </c>
      <c r="G445" s="7">
        <v>628</v>
      </c>
      <c r="H445" s="7">
        <v>24</v>
      </c>
      <c r="I445" s="7" t="s">
        <v>30</v>
      </c>
      <c r="J445" s="7">
        <v>0</v>
      </c>
      <c r="K445" s="7">
        <v>0</v>
      </c>
      <c r="L445" s="7">
        <v>-9.1999999999999993</v>
      </c>
      <c r="M445" t="str">
        <f t="shared" si="6"/>
        <v>medium risk</v>
      </c>
    </row>
    <row r="446" spans="1:13">
      <c r="A446" s="7" t="s">
        <v>711</v>
      </c>
      <c r="B446" s="9" t="s">
        <v>712</v>
      </c>
      <c r="C446" s="7">
        <v>2022</v>
      </c>
      <c r="D446" s="7" t="s">
        <v>107</v>
      </c>
      <c r="E446" s="7" t="s">
        <v>76</v>
      </c>
      <c r="F446" s="7" t="s">
        <v>24</v>
      </c>
      <c r="G446" s="7">
        <v>223</v>
      </c>
      <c r="H446" s="7">
        <v>15</v>
      </c>
      <c r="I446" s="7" t="s">
        <v>30</v>
      </c>
      <c r="J446" s="7">
        <v>0</v>
      </c>
      <c r="K446" s="7">
        <v>0</v>
      </c>
      <c r="L446" s="7">
        <v>-7.1</v>
      </c>
      <c r="M446" t="str">
        <f t="shared" si="6"/>
        <v>low risk</v>
      </c>
    </row>
    <row r="447" spans="1:13">
      <c r="A447" s="7" t="s">
        <v>713</v>
      </c>
      <c r="B447" s="9">
        <v>44597</v>
      </c>
      <c r="C447" s="7">
        <v>2022</v>
      </c>
      <c r="D447" s="7" t="s">
        <v>112</v>
      </c>
      <c r="E447" s="7" t="s">
        <v>38</v>
      </c>
      <c r="F447" s="7" t="s">
        <v>41</v>
      </c>
      <c r="G447" s="7">
        <v>2536</v>
      </c>
      <c r="H447" s="7">
        <v>41</v>
      </c>
      <c r="I447" s="7" t="s">
        <v>30</v>
      </c>
      <c r="J447" s="7">
        <v>0</v>
      </c>
      <c r="K447" s="7">
        <v>0</v>
      </c>
      <c r="L447" s="7">
        <v>-3.1</v>
      </c>
      <c r="M447" t="str">
        <f t="shared" si="6"/>
        <v>high risk</v>
      </c>
    </row>
    <row r="448" spans="1:13">
      <c r="A448" s="7" t="s">
        <v>714</v>
      </c>
      <c r="B448" s="9">
        <v>44686</v>
      </c>
      <c r="C448" s="7">
        <v>2022</v>
      </c>
      <c r="D448" s="7" t="s">
        <v>51</v>
      </c>
      <c r="E448" s="7" t="s">
        <v>38</v>
      </c>
      <c r="F448" s="7" t="s">
        <v>41</v>
      </c>
      <c r="G448" s="7">
        <v>1870</v>
      </c>
      <c r="H448" s="7">
        <v>43</v>
      </c>
      <c r="I448" s="7" t="s">
        <v>30</v>
      </c>
      <c r="J448" s="7">
        <v>0</v>
      </c>
      <c r="K448" s="7">
        <v>0</v>
      </c>
      <c r="L448" s="7">
        <v>2.1</v>
      </c>
      <c r="M448" t="str">
        <f t="shared" si="6"/>
        <v>medium risk</v>
      </c>
    </row>
    <row r="449" spans="1:13">
      <c r="A449" s="7" t="s">
        <v>715</v>
      </c>
      <c r="B449" s="9">
        <v>44747</v>
      </c>
      <c r="C449" s="7">
        <v>2022</v>
      </c>
      <c r="D449" s="7" t="s">
        <v>33</v>
      </c>
      <c r="E449" s="7" t="s">
        <v>29</v>
      </c>
      <c r="F449" s="7" t="s">
        <v>41</v>
      </c>
      <c r="G449" s="7">
        <v>560</v>
      </c>
      <c r="H449" s="7">
        <v>36</v>
      </c>
      <c r="I449" s="7" t="s">
        <v>25</v>
      </c>
      <c r="J449" s="7">
        <v>1</v>
      </c>
      <c r="K449" s="7">
        <v>0</v>
      </c>
      <c r="L449" s="7">
        <v>8.5</v>
      </c>
      <c r="M449" t="str">
        <f t="shared" si="6"/>
        <v>medium risk</v>
      </c>
    </row>
    <row r="450" spans="1:13">
      <c r="A450" s="7" t="s">
        <v>716</v>
      </c>
      <c r="B450" s="9" t="s">
        <v>717</v>
      </c>
      <c r="C450" s="7">
        <v>2022</v>
      </c>
      <c r="D450" s="7" t="s">
        <v>33</v>
      </c>
      <c r="E450" s="7" t="s">
        <v>29</v>
      </c>
      <c r="F450" s="7" t="s">
        <v>41</v>
      </c>
      <c r="G450" s="7">
        <v>1050</v>
      </c>
      <c r="H450" s="7">
        <v>29</v>
      </c>
      <c r="I450" s="7" t="s">
        <v>25</v>
      </c>
      <c r="J450" s="7">
        <v>1</v>
      </c>
      <c r="K450" s="7">
        <v>0</v>
      </c>
      <c r="L450" s="7">
        <v>5.5</v>
      </c>
      <c r="M450" t="str">
        <f t="shared" si="6"/>
        <v>medium risk</v>
      </c>
    </row>
    <row r="451" spans="1:13">
      <c r="A451" s="7" t="s">
        <v>718</v>
      </c>
      <c r="B451" s="9">
        <v>44657</v>
      </c>
      <c r="C451" s="7">
        <v>2022</v>
      </c>
      <c r="D451" s="7" t="s">
        <v>68</v>
      </c>
      <c r="E451" s="7" t="s">
        <v>38</v>
      </c>
      <c r="F451" s="7" t="s">
        <v>41</v>
      </c>
      <c r="G451" s="7">
        <v>1438</v>
      </c>
      <c r="H451" s="7">
        <v>33</v>
      </c>
      <c r="I451" s="7" t="s">
        <v>30</v>
      </c>
      <c r="J451" s="7">
        <v>0</v>
      </c>
      <c r="K451" s="7">
        <v>0</v>
      </c>
      <c r="L451" s="7">
        <v>-1.1000000000000001</v>
      </c>
      <c r="M451" t="str">
        <f t="shared" ref="M451:M514" si="7">IF(G451&gt;2000,"high risk",IF(G451&gt;500,"medium risk","low risk"))</f>
        <v>medium risk</v>
      </c>
    </row>
    <row r="452" spans="1:13">
      <c r="A452" s="7" t="s">
        <v>719</v>
      </c>
      <c r="B452" s="9">
        <v>44657</v>
      </c>
      <c r="C452" s="7">
        <v>2022</v>
      </c>
      <c r="D452" s="7" t="s">
        <v>40</v>
      </c>
      <c r="E452" s="7" t="s">
        <v>76</v>
      </c>
      <c r="F452" s="7" t="s">
        <v>41</v>
      </c>
      <c r="G452" s="7">
        <v>433</v>
      </c>
      <c r="H452" s="7">
        <v>28</v>
      </c>
      <c r="I452" s="7" t="s">
        <v>30</v>
      </c>
      <c r="J452" s="7">
        <v>0</v>
      </c>
      <c r="K452" s="7">
        <v>0</v>
      </c>
      <c r="L452" s="7">
        <v>0.1</v>
      </c>
      <c r="M452" t="str">
        <f t="shared" si="7"/>
        <v>low risk</v>
      </c>
    </row>
    <row r="453" spans="1:13">
      <c r="A453" s="7" t="s">
        <v>720</v>
      </c>
      <c r="B453" s="9">
        <v>44687</v>
      </c>
      <c r="C453" s="7">
        <v>2022</v>
      </c>
      <c r="D453" s="7" t="s">
        <v>112</v>
      </c>
      <c r="E453" s="7" t="s">
        <v>54</v>
      </c>
      <c r="F453" s="7" t="s">
        <v>24</v>
      </c>
      <c r="G453" s="7">
        <v>245</v>
      </c>
      <c r="H453" s="7">
        <v>23</v>
      </c>
      <c r="I453" s="7" t="s">
        <v>25</v>
      </c>
      <c r="J453" s="7">
        <v>1</v>
      </c>
      <c r="K453" s="7">
        <v>0</v>
      </c>
      <c r="L453" s="7">
        <v>15.1</v>
      </c>
      <c r="M453" t="str">
        <f t="shared" si="7"/>
        <v>low risk</v>
      </c>
    </row>
    <row r="454" spans="1:13">
      <c r="A454" s="7" t="s">
        <v>721</v>
      </c>
      <c r="B454" s="9">
        <v>44901</v>
      </c>
      <c r="C454" s="7">
        <v>2022</v>
      </c>
      <c r="D454" s="7" t="s">
        <v>107</v>
      </c>
      <c r="E454" s="7" t="s">
        <v>76</v>
      </c>
      <c r="F454" s="7" t="s">
        <v>41</v>
      </c>
      <c r="G454" s="7">
        <v>1567</v>
      </c>
      <c r="H454" s="7">
        <v>41</v>
      </c>
      <c r="I454" s="7" t="s">
        <v>25</v>
      </c>
      <c r="J454" s="7">
        <v>1</v>
      </c>
      <c r="K454" s="7">
        <v>0</v>
      </c>
      <c r="L454" s="7">
        <v>7.8</v>
      </c>
      <c r="M454" t="str">
        <f t="shared" si="7"/>
        <v>medium risk</v>
      </c>
    </row>
    <row r="455" spans="1:13">
      <c r="A455" s="7" t="s">
        <v>722</v>
      </c>
      <c r="B455" s="9" t="s">
        <v>723</v>
      </c>
      <c r="C455" s="7">
        <v>2022</v>
      </c>
      <c r="D455" s="7" t="s">
        <v>96</v>
      </c>
      <c r="E455" s="7" t="s">
        <v>47</v>
      </c>
      <c r="F455" s="7" t="s">
        <v>41</v>
      </c>
      <c r="G455" s="7">
        <v>781</v>
      </c>
      <c r="H455" s="7">
        <v>39</v>
      </c>
      <c r="I455" s="7" t="s">
        <v>25</v>
      </c>
      <c r="J455" s="7">
        <v>1</v>
      </c>
      <c r="K455" s="7">
        <v>0</v>
      </c>
      <c r="L455" s="7">
        <v>3</v>
      </c>
      <c r="M455" t="str">
        <f t="shared" si="7"/>
        <v>medium risk</v>
      </c>
    </row>
    <row r="456" spans="1:13">
      <c r="A456" s="7" t="s">
        <v>724</v>
      </c>
      <c r="B456" s="9" t="s">
        <v>725</v>
      </c>
      <c r="C456" s="7">
        <v>2022</v>
      </c>
      <c r="D456" s="7" t="s">
        <v>33</v>
      </c>
      <c r="E456" s="7" t="s">
        <v>47</v>
      </c>
      <c r="F456" s="7" t="s">
        <v>41</v>
      </c>
      <c r="G456" s="7">
        <v>1368</v>
      </c>
      <c r="H456" s="7">
        <v>42</v>
      </c>
      <c r="I456" s="7" t="s">
        <v>25</v>
      </c>
      <c r="J456" s="7">
        <v>1</v>
      </c>
      <c r="K456" s="7">
        <v>0</v>
      </c>
      <c r="L456" s="7">
        <v>-1</v>
      </c>
      <c r="M456" t="str">
        <f t="shared" si="7"/>
        <v>medium risk</v>
      </c>
    </row>
    <row r="457" spans="1:13">
      <c r="A457" s="7" t="s">
        <v>726</v>
      </c>
      <c r="B457" s="9" t="s">
        <v>727</v>
      </c>
      <c r="C457" s="7">
        <v>2022</v>
      </c>
      <c r="D457" s="7" t="s">
        <v>174</v>
      </c>
      <c r="E457" s="7" t="s">
        <v>76</v>
      </c>
      <c r="F457" s="7" t="s">
        <v>24</v>
      </c>
      <c r="G457" s="7">
        <v>298</v>
      </c>
      <c r="H457" s="7">
        <v>6</v>
      </c>
      <c r="I457" s="7" t="s">
        <v>25</v>
      </c>
      <c r="J457" s="7">
        <v>1</v>
      </c>
      <c r="K457" s="7">
        <v>0</v>
      </c>
      <c r="L457" s="7">
        <v>3.9</v>
      </c>
      <c r="M457" t="str">
        <f t="shared" si="7"/>
        <v>low risk</v>
      </c>
    </row>
    <row r="458" spans="1:13">
      <c r="A458" s="7" t="s">
        <v>728</v>
      </c>
      <c r="B458" s="9" t="s">
        <v>729</v>
      </c>
      <c r="C458" s="7">
        <v>2022</v>
      </c>
      <c r="D458" s="7" t="s">
        <v>107</v>
      </c>
      <c r="E458" s="7" t="s">
        <v>63</v>
      </c>
      <c r="F458" s="7" t="s">
        <v>24</v>
      </c>
      <c r="G458" s="7">
        <v>308</v>
      </c>
      <c r="H458" s="7">
        <v>10</v>
      </c>
      <c r="I458" s="7" t="s">
        <v>30</v>
      </c>
      <c r="J458" s="7">
        <v>0</v>
      </c>
      <c r="K458" s="7">
        <v>0</v>
      </c>
      <c r="L458" s="7">
        <v>1.9</v>
      </c>
      <c r="M458" t="str">
        <f t="shared" si="7"/>
        <v>low risk</v>
      </c>
    </row>
    <row r="459" spans="1:13">
      <c r="A459" s="7" t="s">
        <v>730</v>
      </c>
      <c r="B459" s="9" t="s">
        <v>731</v>
      </c>
      <c r="C459" s="7">
        <v>2022</v>
      </c>
      <c r="D459" s="7" t="s">
        <v>101</v>
      </c>
      <c r="E459" s="7" t="s">
        <v>78</v>
      </c>
      <c r="F459" s="7" t="s">
        <v>24</v>
      </c>
      <c r="G459" s="7">
        <v>238</v>
      </c>
      <c r="H459" s="7">
        <v>26</v>
      </c>
      <c r="I459" s="7" t="s">
        <v>25</v>
      </c>
      <c r="J459" s="7">
        <v>1</v>
      </c>
      <c r="K459" s="7">
        <v>0</v>
      </c>
      <c r="L459" s="7">
        <v>5.8</v>
      </c>
      <c r="M459" t="str">
        <f t="shared" si="7"/>
        <v>low risk</v>
      </c>
    </row>
    <row r="460" spans="1:13">
      <c r="A460" s="7" t="s">
        <v>732</v>
      </c>
      <c r="B460" s="9">
        <v>44569</v>
      </c>
      <c r="C460" s="7">
        <v>2022</v>
      </c>
      <c r="D460" s="7" t="s">
        <v>68</v>
      </c>
      <c r="E460" s="7" t="s">
        <v>76</v>
      </c>
      <c r="F460" s="7" t="s">
        <v>24</v>
      </c>
      <c r="G460" s="7">
        <v>244</v>
      </c>
      <c r="H460" s="7">
        <v>15</v>
      </c>
      <c r="I460" s="7" t="s">
        <v>25</v>
      </c>
      <c r="J460" s="7">
        <v>1</v>
      </c>
      <c r="K460" s="7">
        <v>0</v>
      </c>
      <c r="L460" s="7">
        <v>11.5</v>
      </c>
      <c r="M460" t="str">
        <f t="shared" si="7"/>
        <v>low risk</v>
      </c>
    </row>
    <row r="461" spans="1:13">
      <c r="A461" s="7" t="s">
        <v>733</v>
      </c>
      <c r="B461" s="9" t="s">
        <v>734</v>
      </c>
      <c r="C461" s="7">
        <v>2022</v>
      </c>
      <c r="D461" s="7" t="s">
        <v>96</v>
      </c>
      <c r="E461" s="7" t="s">
        <v>54</v>
      </c>
      <c r="F461" s="7" t="s">
        <v>41</v>
      </c>
      <c r="G461" s="7">
        <v>1493</v>
      </c>
      <c r="H461" s="7">
        <v>27</v>
      </c>
      <c r="I461" s="7" t="s">
        <v>25</v>
      </c>
      <c r="J461" s="7">
        <v>1</v>
      </c>
      <c r="K461" s="7">
        <v>0</v>
      </c>
      <c r="L461" s="7">
        <v>10.1</v>
      </c>
      <c r="M461" t="str">
        <f t="shared" si="7"/>
        <v>medium risk</v>
      </c>
    </row>
    <row r="462" spans="1:13">
      <c r="A462" s="7" t="s">
        <v>735</v>
      </c>
      <c r="B462" s="9">
        <v>44570</v>
      </c>
      <c r="C462" s="7">
        <v>2022</v>
      </c>
      <c r="D462" s="7" t="s">
        <v>174</v>
      </c>
      <c r="E462" s="7" t="s">
        <v>47</v>
      </c>
      <c r="F462" s="7" t="s">
        <v>41</v>
      </c>
      <c r="G462" s="7">
        <v>1019</v>
      </c>
      <c r="H462" s="7">
        <v>29</v>
      </c>
      <c r="I462" s="7" t="s">
        <v>25</v>
      </c>
      <c r="J462" s="7">
        <v>1</v>
      </c>
      <c r="K462" s="7">
        <v>0</v>
      </c>
      <c r="L462" s="7">
        <v>10.7</v>
      </c>
      <c r="M462" t="str">
        <f t="shared" si="7"/>
        <v>medium risk</v>
      </c>
    </row>
    <row r="463" spans="1:13">
      <c r="A463" s="7" t="s">
        <v>736</v>
      </c>
      <c r="B463" s="9" t="s">
        <v>737</v>
      </c>
      <c r="C463" s="7">
        <v>2022</v>
      </c>
      <c r="D463" s="7" t="s">
        <v>96</v>
      </c>
      <c r="E463" s="7" t="s">
        <v>78</v>
      </c>
      <c r="F463" s="7" t="s">
        <v>41</v>
      </c>
      <c r="G463" s="7">
        <v>2189</v>
      </c>
      <c r="H463" s="7">
        <v>43</v>
      </c>
      <c r="I463" s="7" t="s">
        <v>25</v>
      </c>
      <c r="J463" s="7">
        <v>1</v>
      </c>
      <c r="K463" s="7">
        <v>0</v>
      </c>
      <c r="L463" s="7">
        <v>5.9</v>
      </c>
      <c r="M463" t="str">
        <f t="shared" si="7"/>
        <v>high risk</v>
      </c>
    </row>
    <row r="464" spans="1:13">
      <c r="A464" s="7" t="s">
        <v>738</v>
      </c>
      <c r="B464" s="9" t="s">
        <v>739</v>
      </c>
      <c r="C464" s="7">
        <v>2022</v>
      </c>
      <c r="D464" s="7" t="s">
        <v>22</v>
      </c>
      <c r="E464" s="7" t="s">
        <v>34</v>
      </c>
      <c r="F464" s="7" t="s">
        <v>24</v>
      </c>
      <c r="G464" s="7">
        <v>155</v>
      </c>
      <c r="H464" s="7">
        <v>22</v>
      </c>
      <c r="I464" s="7" t="s">
        <v>35</v>
      </c>
      <c r="J464" s="7">
        <v>0</v>
      </c>
      <c r="K464" s="7">
        <v>1</v>
      </c>
      <c r="L464" s="7">
        <v>-31.7</v>
      </c>
      <c r="M464" t="str">
        <f t="shared" si="7"/>
        <v>low risk</v>
      </c>
    </row>
    <row r="465" spans="1:13">
      <c r="A465" s="7" t="s">
        <v>740</v>
      </c>
      <c r="B465" s="9">
        <v>44571</v>
      </c>
      <c r="C465" s="7">
        <v>2022</v>
      </c>
      <c r="D465" s="7" t="s">
        <v>46</v>
      </c>
      <c r="E465" s="7" t="s">
        <v>34</v>
      </c>
      <c r="F465" s="7" t="s">
        <v>41</v>
      </c>
      <c r="G465" s="7">
        <v>860</v>
      </c>
      <c r="H465" s="7">
        <v>36</v>
      </c>
      <c r="I465" s="7" t="s">
        <v>35</v>
      </c>
      <c r="J465" s="7">
        <v>0</v>
      </c>
      <c r="K465" s="7">
        <v>1</v>
      </c>
      <c r="L465" s="7">
        <v>-17</v>
      </c>
      <c r="M465" t="str">
        <f t="shared" si="7"/>
        <v>medium risk</v>
      </c>
    </row>
    <row r="466" spans="1:13">
      <c r="A466" s="7" t="s">
        <v>741</v>
      </c>
      <c r="B466" s="9">
        <v>44814</v>
      </c>
      <c r="C466" s="7">
        <v>2022</v>
      </c>
      <c r="D466" s="7" t="s">
        <v>44</v>
      </c>
      <c r="E466" s="7" t="s">
        <v>34</v>
      </c>
      <c r="F466" s="7" t="s">
        <v>41</v>
      </c>
      <c r="G466" s="7">
        <v>1830</v>
      </c>
      <c r="H466" s="7">
        <v>56</v>
      </c>
      <c r="I466" s="7" t="s">
        <v>35</v>
      </c>
      <c r="J466" s="7">
        <v>0</v>
      </c>
      <c r="K466" s="7">
        <v>1</v>
      </c>
      <c r="L466" s="7">
        <v>-16.899999999999999</v>
      </c>
      <c r="M466" t="str">
        <f t="shared" si="7"/>
        <v>medium risk</v>
      </c>
    </row>
    <row r="467" spans="1:13">
      <c r="A467" s="7" t="s">
        <v>742</v>
      </c>
      <c r="B467" s="9" t="s">
        <v>743</v>
      </c>
      <c r="C467" s="7">
        <v>2022</v>
      </c>
      <c r="D467" s="7" t="s">
        <v>33</v>
      </c>
      <c r="E467" s="7" t="s">
        <v>23</v>
      </c>
      <c r="F467" s="7" t="s">
        <v>24</v>
      </c>
      <c r="G467" s="7">
        <v>176</v>
      </c>
      <c r="H467" s="7">
        <v>6</v>
      </c>
      <c r="I467" s="7" t="s">
        <v>35</v>
      </c>
      <c r="J467" s="7">
        <v>0</v>
      </c>
      <c r="K467" s="7">
        <v>1</v>
      </c>
      <c r="L467" s="7">
        <v>-2.2000000000000002</v>
      </c>
      <c r="M467" t="str">
        <f t="shared" si="7"/>
        <v>low risk</v>
      </c>
    </row>
    <row r="468" spans="1:13">
      <c r="A468" s="7" t="s">
        <v>744</v>
      </c>
      <c r="B468" s="9" t="s">
        <v>745</v>
      </c>
      <c r="C468" s="7">
        <v>2022</v>
      </c>
      <c r="D468" s="7" t="s">
        <v>28</v>
      </c>
      <c r="E468" s="7" t="s">
        <v>63</v>
      </c>
      <c r="F468" s="7" t="s">
        <v>41</v>
      </c>
      <c r="G468" s="7">
        <v>399</v>
      </c>
      <c r="H468" s="7">
        <v>45</v>
      </c>
      <c r="I468" s="7" t="s">
        <v>25</v>
      </c>
      <c r="J468" s="7">
        <v>1</v>
      </c>
      <c r="K468" s="7">
        <v>0</v>
      </c>
      <c r="L468" s="7">
        <v>-4.7</v>
      </c>
      <c r="M468" t="str">
        <f t="shared" si="7"/>
        <v>low risk</v>
      </c>
    </row>
    <row r="469" spans="1:13">
      <c r="A469" s="7" t="s">
        <v>746</v>
      </c>
      <c r="B469" s="9">
        <v>44631</v>
      </c>
      <c r="C469" s="7">
        <v>2022</v>
      </c>
      <c r="D469" s="7" t="s">
        <v>37</v>
      </c>
      <c r="E469" s="7" t="s">
        <v>54</v>
      </c>
      <c r="F469" s="7" t="s">
        <v>24</v>
      </c>
      <c r="G469" s="7">
        <v>815</v>
      </c>
      <c r="H469" s="7">
        <v>26</v>
      </c>
      <c r="I469" s="7" t="s">
        <v>25</v>
      </c>
      <c r="J469" s="7">
        <v>1</v>
      </c>
      <c r="K469" s="7">
        <v>0</v>
      </c>
      <c r="L469" s="7">
        <v>8.1999999999999993</v>
      </c>
      <c r="M469" t="str">
        <f t="shared" si="7"/>
        <v>medium risk</v>
      </c>
    </row>
    <row r="470" spans="1:13">
      <c r="A470" s="7" t="s">
        <v>747</v>
      </c>
      <c r="B470" s="9">
        <v>44876</v>
      </c>
      <c r="C470" s="7">
        <v>2022</v>
      </c>
      <c r="D470" s="7" t="s">
        <v>156</v>
      </c>
      <c r="E470" s="7" t="s">
        <v>63</v>
      </c>
      <c r="F470" s="7" t="s">
        <v>24</v>
      </c>
      <c r="G470" s="7">
        <v>551</v>
      </c>
      <c r="H470" s="7">
        <v>19</v>
      </c>
      <c r="I470" s="7" t="s">
        <v>25</v>
      </c>
      <c r="J470" s="7">
        <v>1</v>
      </c>
      <c r="K470" s="7">
        <v>0</v>
      </c>
      <c r="L470" s="7">
        <v>10.8</v>
      </c>
      <c r="M470" t="str">
        <f t="shared" si="7"/>
        <v>medium risk</v>
      </c>
    </row>
    <row r="471" spans="1:13">
      <c r="A471" s="7" t="s">
        <v>748</v>
      </c>
      <c r="B471" s="9">
        <v>44604</v>
      </c>
      <c r="C471" s="7">
        <v>2022</v>
      </c>
      <c r="D471" s="7" t="s">
        <v>37</v>
      </c>
      <c r="E471" s="7" t="s">
        <v>29</v>
      </c>
      <c r="F471" s="7" t="s">
        <v>41</v>
      </c>
      <c r="G471" s="7">
        <v>2187</v>
      </c>
      <c r="H471" s="7">
        <v>29</v>
      </c>
      <c r="I471" s="7" t="s">
        <v>25</v>
      </c>
      <c r="J471" s="7">
        <v>1</v>
      </c>
      <c r="K471" s="7">
        <v>0</v>
      </c>
      <c r="L471" s="7">
        <v>10.199999999999999</v>
      </c>
      <c r="M471" t="str">
        <f t="shared" si="7"/>
        <v>high risk</v>
      </c>
    </row>
    <row r="472" spans="1:13">
      <c r="A472" s="7" t="s">
        <v>749</v>
      </c>
      <c r="B472" s="9">
        <v>44663</v>
      </c>
      <c r="C472" s="7">
        <v>2022</v>
      </c>
      <c r="D472" s="7" t="s">
        <v>46</v>
      </c>
      <c r="E472" s="7" t="s">
        <v>23</v>
      </c>
      <c r="F472" s="7" t="s">
        <v>41</v>
      </c>
      <c r="G472" s="7">
        <v>2887</v>
      </c>
      <c r="H472" s="7">
        <v>42</v>
      </c>
      <c r="I472" s="7" t="s">
        <v>35</v>
      </c>
      <c r="J472" s="7">
        <v>0</v>
      </c>
      <c r="K472" s="7">
        <v>1</v>
      </c>
      <c r="L472" s="7">
        <v>-18.3</v>
      </c>
      <c r="M472" t="str">
        <f t="shared" si="7"/>
        <v>high risk</v>
      </c>
    </row>
    <row r="473" spans="1:13">
      <c r="A473" s="7" t="s">
        <v>750</v>
      </c>
      <c r="B473" s="9">
        <v>44724</v>
      </c>
      <c r="C473" s="7">
        <v>2022</v>
      </c>
      <c r="D473" s="7" t="s">
        <v>51</v>
      </c>
      <c r="E473" s="7" t="s">
        <v>34</v>
      </c>
      <c r="F473" s="7" t="s">
        <v>41</v>
      </c>
      <c r="G473" s="7">
        <v>575</v>
      </c>
      <c r="H473" s="7">
        <v>32</v>
      </c>
      <c r="I473" s="7" t="s">
        <v>35</v>
      </c>
      <c r="J473" s="7">
        <v>0</v>
      </c>
      <c r="K473" s="7">
        <v>1</v>
      </c>
      <c r="L473" s="7">
        <v>-19.3</v>
      </c>
      <c r="M473" t="str">
        <f t="shared" si="7"/>
        <v>medium risk</v>
      </c>
    </row>
    <row r="474" spans="1:13">
      <c r="A474" s="7" t="s">
        <v>751</v>
      </c>
      <c r="B474" s="9" t="s">
        <v>752</v>
      </c>
      <c r="C474" s="7">
        <v>2023</v>
      </c>
      <c r="D474" s="7" t="s">
        <v>66</v>
      </c>
      <c r="E474" s="7" t="s">
        <v>54</v>
      </c>
      <c r="F474" s="7" t="s">
        <v>41</v>
      </c>
      <c r="G474" s="7">
        <v>356</v>
      </c>
      <c r="H474" s="7">
        <v>27</v>
      </c>
      <c r="I474" s="7" t="s">
        <v>25</v>
      </c>
      <c r="J474" s="7">
        <v>1</v>
      </c>
      <c r="K474" s="7">
        <v>0</v>
      </c>
      <c r="L474" s="7">
        <v>12</v>
      </c>
      <c r="M474" t="str">
        <f t="shared" si="7"/>
        <v>low risk</v>
      </c>
    </row>
    <row r="475" spans="1:13">
      <c r="A475" s="7" t="s">
        <v>753</v>
      </c>
      <c r="B475" s="9" t="s">
        <v>754</v>
      </c>
      <c r="C475" s="7">
        <v>2023</v>
      </c>
      <c r="D475" s="7" t="s">
        <v>44</v>
      </c>
      <c r="E475" s="7" t="s">
        <v>83</v>
      </c>
      <c r="F475" s="7" t="s">
        <v>24</v>
      </c>
      <c r="G475" s="7">
        <v>267</v>
      </c>
      <c r="H475" s="7">
        <v>23</v>
      </c>
      <c r="I475" s="7" t="s">
        <v>25</v>
      </c>
      <c r="J475" s="7">
        <v>1</v>
      </c>
      <c r="K475" s="7">
        <v>0</v>
      </c>
      <c r="L475" s="7">
        <v>6.7</v>
      </c>
      <c r="M475" t="str">
        <f t="shared" si="7"/>
        <v>low risk</v>
      </c>
    </row>
    <row r="476" spans="1:13">
      <c r="A476" s="7" t="s">
        <v>755</v>
      </c>
      <c r="B476" s="9" t="s">
        <v>756</v>
      </c>
      <c r="C476" s="7">
        <v>2023</v>
      </c>
      <c r="D476" s="7" t="s">
        <v>96</v>
      </c>
      <c r="E476" s="7" t="s">
        <v>34</v>
      </c>
      <c r="F476" s="7" t="s">
        <v>24</v>
      </c>
      <c r="G476" s="7">
        <v>175</v>
      </c>
      <c r="H476" s="7">
        <v>15</v>
      </c>
      <c r="I476" s="7" t="s">
        <v>30</v>
      </c>
      <c r="J476" s="7">
        <v>0</v>
      </c>
      <c r="K476" s="7">
        <v>0</v>
      </c>
      <c r="L476" s="7">
        <v>-3.8</v>
      </c>
      <c r="M476" t="str">
        <f t="shared" si="7"/>
        <v>low risk</v>
      </c>
    </row>
    <row r="477" spans="1:13">
      <c r="A477" s="7" t="s">
        <v>757</v>
      </c>
      <c r="B477" s="9" t="s">
        <v>758</v>
      </c>
      <c r="C477" s="7">
        <v>2023</v>
      </c>
      <c r="D477" s="7" t="s">
        <v>66</v>
      </c>
      <c r="E477" s="7" t="s">
        <v>76</v>
      </c>
      <c r="F477" s="7" t="s">
        <v>41</v>
      </c>
      <c r="G477" s="7">
        <v>949</v>
      </c>
      <c r="H477" s="7">
        <v>40</v>
      </c>
      <c r="I477" s="7" t="s">
        <v>25</v>
      </c>
      <c r="J477" s="7">
        <v>1</v>
      </c>
      <c r="K477" s="7">
        <v>0</v>
      </c>
      <c r="L477" s="7">
        <v>2.9</v>
      </c>
      <c r="M477" t="str">
        <f t="shared" si="7"/>
        <v>medium risk</v>
      </c>
    </row>
    <row r="478" spans="1:13">
      <c r="A478" s="7" t="s">
        <v>759</v>
      </c>
      <c r="B478" s="9">
        <v>45019</v>
      </c>
      <c r="C478" s="7">
        <v>2023</v>
      </c>
      <c r="D478" s="7" t="s">
        <v>44</v>
      </c>
      <c r="E478" s="7" t="s">
        <v>34</v>
      </c>
      <c r="F478" s="7" t="s">
        <v>41</v>
      </c>
      <c r="G478" s="7">
        <v>1406</v>
      </c>
      <c r="H478" s="7">
        <v>33</v>
      </c>
      <c r="I478" s="7" t="s">
        <v>35</v>
      </c>
      <c r="J478" s="7">
        <v>0</v>
      </c>
      <c r="K478" s="7">
        <v>1</v>
      </c>
      <c r="L478" s="7">
        <v>0.9</v>
      </c>
      <c r="M478" t="str">
        <f t="shared" si="7"/>
        <v>medium risk</v>
      </c>
    </row>
    <row r="479" spans="1:13">
      <c r="A479" s="7" t="s">
        <v>760</v>
      </c>
      <c r="B479" s="9" t="s">
        <v>761</v>
      </c>
      <c r="C479" s="7">
        <v>2023</v>
      </c>
      <c r="D479" s="7" t="s">
        <v>51</v>
      </c>
      <c r="E479" s="7" t="s">
        <v>38</v>
      </c>
      <c r="F479" s="7" t="s">
        <v>24</v>
      </c>
      <c r="G479" s="7">
        <v>259</v>
      </c>
      <c r="H479" s="7">
        <v>29</v>
      </c>
      <c r="I479" s="7" t="s">
        <v>25</v>
      </c>
      <c r="J479" s="7">
        <v>1</v>
      </c>
      <c r="K479" s="7">
        <v>0</v>
      </c>
      <c r="L479" s="7">
        <v>10.199999999999999</v>
      </c>
      <c r="M479" t="str">
        <f t="shared" si="7"/>
        <v>low risk</v>
      </c>
    </row>
    <row r="480" spans="1:13">
      <c r="A480" s="7" t="s">
        <v>762</v>
      </c>
      <c r="B480" s="9" t="s">
        <v>763</v>
      </c>
      <c r="C480" s="7">
        <v>2023</v>
      </c>
      <c r="D480" s="7" t="s">
        <v>51</v>
      </c>
      <c r="E480" s="7" t="s">
        <v>38</v>
      </c>
      <c r="F480" s="7" t="s">
        <v>41</v>
      </c>
      <c r="G480" s="7">
        <v>1147</v>
      </c>
      <c r="H480" s="7">
        <v>30</v>
      </c>
      <c r="I480" s="7" t="s">
        <v>35</v>
      </c>
      <c r="J480" s="7">
        <v>0</v>
      </c>
      <c r="K480" s="7">
        <v>1</v>
      </c>
      <c r="L480" s="7">
        <v>-34.4</v>
      </c>
      <c r="M480" t="str">
        <f t="shared" si="7"/>
        <v>medium risk</v>
      </c>
    </row>
    <row r="481" spans="1:13">
      <c r="A481" s="7" t="s">
        <v>764</v>
      </c>
      <c r="B481" s="9" t="s">
        <v>765</v>
      </c>
      <c r="C481" s="7">
        <v>2023</v>
      </c>
      <c r="D481" s="7" t="s">
        <v>194</v>
      </c>
      <c r="E481" s="7" t="s">
        <v>23</v>
      </c>
      <c r="F481" s="7" t="s">
        <v>24</v>
      </c>
      <c r="G481" s="7">
        <v>127</v>
      </c>
      <c r="H481" s="7">
        <v>12</v>
      </c>
      <c r="I481" s="7" t="s">
        <v>30</v>
      </c>
      <c r="J481" s="7">
        <v>0</v>
      </c>
      <c r="K481" s="7">
        <v>0</v>
      </c>
      <c r="L481" s="7">
        <v>-7.6</v>
      </c>
      <c r="M481" t="str">
        <f t="shared" si="7"/>
        <v>low risk</v>
      </c>
    </row>
    <row r="482" spans="1:13">
      <c r="A482" s="7" t="s">
        <v>766</v>
      </c>
      <c r="B482" s="9">
        <v>45143</v>
      </c>
      <c r="C482" s="7">
        <v>2023</v>
      </c>
      <c r="D482" s="7" t="s">
        <v>66</v>
      </c>
      <c r="E482" s="7" t="s">
        <v>23</v>
      </c>
      <c r="F482" s="7" t="s">
        <v>24</v>
      </c>
      <c r="G482" s="7">
        <v>380</v>
      </c>
      <c r="H482" s="7">
        <v>14</v>
      </c>
      <c r="I482" s="7" t="s">
        <v>25</v>
      </c>
      <c r="J482" s="7">
        <v>1</v>
      </c>
      <c r="K482" s="7">
        <v>0</v>
      </c>
      <c r="L482" s="7">
        <v>3.8</v>
      </c>
      <c r="M482" t="str">
        <f t="shared" si="7"/>
        <v>low risk</v>
      </c>
    </row>
    <row r="483" spans="1:13">
      <c r="A483" s="7" t="s">
        <v>767</v>
      </c>
      <c r="B483" s="9">
        <v>45265</v>
      </c>
      <c r="C483" s="7">
        <v>2023</v>
      </c>
      <c r="D483" s="7" t="s">
        <v>28</v>
      </c>
      <c r="E483" s="7" t="s">
        <v>23</v>
      </c>
      <c r="F483" s="7" t="s">
        <v>41</v>
      </c>
      <c r="G483" s="7">
        <v>808</v>
      </c>
      <c r="H483" s="7">
        <v>50</v>
      </c>
      <c r="I483" s="7" t="s">
        <v>35</v>
      </c>
      <c r="J483" s="7">
        <v>0</v>
      </c>
      <c r="K483" s="7">
        <v>1</v>
      </c>
      <c r="L483" s="7">
        <v>-13</v>
      </c>
      <c r="M483" t="str">
        <f t="shared" si="7"/>
        <v>medium risk</v>
      </c>
    </row>
    <row r="484" spans="1:13">
      <c r="A484" s="7" t="s">
        <v>768</v>
      </c>
      <c r="B484" s="9" t="s">
        <v>769</v>
      </c>
      <c r="C484" s="7">
        <v>2023</v>
      </c>
      <c r="D484" s="7" t="s">
        <v>22</v>
      </c>
      <c r="E484" s="7" t="s">
        <v>83</v>
      </c>
      <c r="F484" s="7" t="s">
        <v>41</v>
      </c>
      <c r="G484" s="7">
        <v>933</v>
      </c>
      <c r="H484" s="7">
        <v>41</v>
      </c>
      <c r="I484" s="7" t="s">
        <v>35</v>
      </c>
      <c r="J484" s="7">
        <v>0</v>
      </c>
      <c r="K484" s="7">
        <v>1</v>
      </c>
      <c r="L484" s="7">
        <v>-21.2</v>
      </c>
      <c r="M484" t="str">
        <f t="shared" si="7"/>
        <v>medium risk</v>
      </c>
    </row>
    <row r="485" spans="1:13">
      <c r="A485" s="7" t="s">
        <v>770</v>
      </c>
      <c r="B485" s="9" t="s">
        <v>771</v>
      </c>
      <c r="C485" s="7">
        <v>2023</v>
      </c>
      <c r="D485" s="7" t="s">
        <v>28</v>
      </c>
      <c r="E485" s="7" t="s">
        <v>29</v>
      </c>
      <c r="F485" s="7" t="s">
        <v>41</v>
      </c>
      <c r="G485" s="7">
        <v>753</v>
      </c>
      <c r="H485" s="7">
        <v>43</v>
      </c>
      <c r="I485" s="7" t="s">
        <v>35</v>
      </c>
      <c r="J485" s="7">
        <v>0</v>
      </c>
      <c r="K485" s="7">
        <v>1</v>
      </c>
      <c r="L485" s="7">
        <v>1.8</v>
      </c>
      <c r="M485" t="str">
        <f t="shared" si="7"/>
        <v>medium risk</v>
      </c>
    </row>
    <row r="486" spans="1:13">
      <c r="A486" s="7" t="s">
        <v>772</v>
      </c>
      <c r="B486" s="9" t="s">
        <v>773</v>
      </c>
      <c r="C486" s="7">
        <v>2023</v>
      </c>
      <c r="D486" s="7" t="s">
        <v>156</v>
      </c>
      <c r="E486" s="7" t="s">
        <v>54</v>
      </c>
      <c r="F486" s="7" t="s">
        <v>24</v>
      </c>
      <c r="G486" s="7">
        <v>138</v>
      </c>
      <c r="H486" s="7">
        <v>17</v>
      </c>
      <c r="I486" s="7" t="s">
        <v>35</v>
      </c>
      <c r="J486" s="7">
        <v>0</v>
      </c>
      <c r="K486" s="7">
        <v>1</v>
      </c>
      <c r="L486" s="7">
        <v>-15.6</v>
      </c>
      <c r="M486" t="str">
        <f t="shared" si="7"/>
        <v>low risk</v>
      </c>
    </row>
    <row r="487" spans="1:13">
      <c r="A487" s="7" t="s">
        <v>774</v>
      </c>
      <c r="B487" s="9">
        <v>44991</v>
      </c>
      <c r="C487" s="7">
        <v>2023</v>
      </c>
      <c r="D487" s="7" t="s">
        <v>101</v>
      </c>
      <c r="E487" s="7" t="s">
        <v>78</v>
      </c>
      <c r="F487" s="7" t="s">
        <v>41</v>
      </c>
      <c r="G487" s="7">
        <v>1847</v>
      </c>
      <c r="H487" s="7">
        <v>39</v>
      </c>
      <c r="I487" s="7" t="s">
        <v>35</v>
      </c>
      <c r="J487" s="7">
        <v>0</v>
      </c>
      <c r="K487" s="7">
        <v>1</v>
      </c>
      <c r="L487" s="7">
        <v>-27</v>
      </c>
      <c r="M487" t="str">
        <f t="shared" si="7"/>
        <v>medium risk</v>
      </c>
    </row>
    <row r="488" spans="1:13">
      <c r="A488" s="7" t="s">
        <v>775</v>
      </c>
      <c r="B488" s="9" t="s">
        <v>776</v>
      </c>
      <c r="C488" s="7">
        <v>2023</v>
      </c>
      <c r="D488" s="7" t="s">
        <v>115</v>
      </c>
      <c r="E488" s="7" t="s">
        <v>23</v>
      </c>
      <c r="F488" s="7" t="s">
        <v>41</v>
      </c>
      <c r="G488" s="7">
        <v>1186</v>
      </c>
      <c r="H488" s="7">
        <v>51</v>
      </c>
      <c r="I488" s="7" t="s">
        <v>35</v>
      </c>
      <c r="J488" s="7">
        <v>0</v>
      </c>
      <c r="K488" s="7">
        <v>1</v>
      </c>
      <c r="L488" s="7">
        <v>-23.6</v>
      </c>
      <c r="M488" t="str">
        <f t="shared" si="7"/>
        <v>medium risk</v>
      </c>
    </row>
    <row r="489" spans="1:13">
      <c r="A489" s="7" t="s">
        <v>777</v>
      </c>
      <c r="B489" s="9" t="s">
        <v>778</v>
      </c>
      <c r="C489" s="7">
        <v>2023</v>
      </c>
      <c r="D489" s="7" t="s">
        <v>40</v>
      </c>
      <c r="E489" s="7" t="s">
        <v>23</v>
      </c>
      <c r="F489" s="7" t="s">
        <v>24</v>
      </c>
      <c r="G489" s="7">
        <v>172</v>
      </c>
      <c r="H489" s="7">
        <v>20</v>
      </c>
      <c r="I489" s="7" t="s">
        <v>35</v>
      </c>
      <c r="J489" s="7">
        <v>0</v>
      </c>
      <c r="K489" s="7">
        <v>1</v>
      </c>
      <c r="L489" s="7">
        <v>-12.4</v>
      </c>
      <c r="M489" t="str">
        <f t="shared" si="7"/>
        <v>low risk</v>
      </c>
    </row>
    <row r="490" spans="1:13">
      <c r="A490" s="7" t="s">
        <v>779</v>
      </c>
      <c r="B490" s="9" t="s">
        <v>780</v>
      </c>
      <c r="C490" s="7">
        <v>2023</v>
      </c>
      <c r="D490" s="7" t="s">
        <v>28</v>
      </c>
      <c r="E490" s="7" t="s">
        <v>76</v>
      </c>
      <c r="F490" s="7" t="s">
        <v>41</v>
      </c>
      <c r="G490" s="7">
        <v>403</v>
      </c>
      <c r="H490" s="7">
        <v>33</v>
      </c>
      <c r="I490" s="7" t="s">
        <v>30</v>
      </c>
      <c r="J490" s="7">
        <v>0</v>
      </c>
      <c r="K490" s="7">
        <v>0</v>
      </c>
      <c r="L490" s="7">
        <v>1</v>
      </c>
      <c r="M490" t="str">
        <f t="shared" si="7"/>
        <v>low risk</v>
      </c>
    </row>
    <row r="491" spans="1:13">
      <c r="A491" s="7" t="s">
        <v>781</v>
      </c>
      <c r="B491" s="9">
        <v>44992</v>
      </c>
      <c r="C491" s="7">
        <v>2023</v>
      </c>
      <c r="D491" s="7" t="s">
        <v>66</v>
      </c>
      <c r="E491" s="7" t="s">
        <v>76</v>
      </c>
      <c r="F491" s="7" t="s">
        <v>24</v>
      </c>
      <c r="G491" s="7">
        <v>154</v>
      </c>
      <c r="H491" s="7">
        <v>21</v>
      </c>
      <c r="I491" s="7" t="s">
        <v>25</v>
      </c>
      <c r="J491" s="7">
        <v>1</v>
      </c>
      <c r="K491" s="7">
        <v>0</v>
      </c>
      <c r="L491" s="7">
        <v>13.2</v>
      </c>
      <c r="M491" t="str">
        <f t="shared" si="7"/>
        <v>low risk</v>
      </c>
    </row>
    <row r="492" spans="1:13">
      <c r="A492" s="7" t="s">
        <v>782</v>
      </c>
      <c r="B492" s="9">
        <v>45023</v>
      </c>
      <c r="C492" s="7">
        <v>2023</v>
      </c>
      <c r="D492" s="7" t="s">
        <v>144</v>
      </c>
      <c r="E492" s="7" t="s">
        <v>23</v>
      </c>
      <c r="F492" s="7" t="s">
        <v>41</v>
      </c>
      <c r="G492" s="7">
        <v>466</v>
      </c>
      <c r="H492" s="7">
        <v>43</v>
      </c>
      <c r="I492" s="7" t="s">
        <v>35</v>
      </c>
      <c r="J492" s="7">
        <v>0</v>
      </c>
      <c r="K492" s="7">
        <v>1</v>
      </c>
      <c r="L492" s="7">
        <v>5.9</v>
      </c>
      <c r="M492" t="str">
        <f t="shared" si="7"/>
        <v>low risk</v>
      </c>
    </row>
    <row r="493" spans="1:13">
      <c r="A493" s="7" t="s">
        <v>783</v>
      </c>
      <c r="B493" s="9">
        <v>44934</v>
      </c>
      <c r="C493" s="7">
        <v>2023</v>
      </c>
      <c r="D493" s="7" t="s">
        <v>107</v>
      </c>
      <c r="E493" s="7" t="s">
        <v>34</v>
      </c>
      <c r="F493" s="7" t="s">
        <v>41</v>
      </c>
      <c r="G493" s="7">
        <v>1383</v>
      </c>
      <c r="H493" s="7">
        <v>32</v>
      </c>
      <c r="I493" s="7" t="s">
        <v>30</v>
      </c>
      <c r="J493" s="7">
        <v>0</v>
      </c>
      <c r="K493" s="7">
        <v>0</v>
      </c>
      <c r="L493" s="7">
        <v>-8</v>
      </c>
      <c r="M493" t="str">
        <f t="shared" si="7"/>
        <v>medium risk</v>
      </c>
    </row>
    <row r="494" spans="1:13">
      <c r="A494" s="7" t="s">
        <v>784</v>
      </c>
      <c r="B494" s="9">
        <v>45024</v>
      </c>
      <c r="C494" s="7">
        <v>2023</v>
      </c>
      <c r="D494" s="7" t="s">
        <v>174</v>
      </c>
      <c r="E494" s="7" t="s">
        <v>38</v>
      </c>
      <c r="F494" s="7" t="s">
        <v>24</v>
      </c>
      <c r="G494" s="7">
        <v>357</v>
      </c>
      <c r="H494" s="7">
        <v>26</v>
      </c>
      <c r="I494" s="7" t="s">
        <v>25</v>
      </c>
      <c r="J494" s="7">
        <v>1</v>
      </c>
      <c r="K494" s="7">
        <v>0</v>
      </c>
      <c r="L494" s="7">
        <v>0</v>
      </c>
      <c r="M494" t="str">
        <f t="shared" si="7"/>
        <v>low risk</v>
      </c>
    </row>
    <row r="495" spans="1:13">
      <c r="A495" s="7" t="s">
        <v>785</v>
      </c>
      <c r="B495" s="9">
        <v>45085</v>
      </c>
      <c r="C495" s="7">
        <v>2023</v>
      </c>
      <c r="D495" s="7" t="s">
        <v>68</v>
      </c>
      <c r="E495" s="7" t="s">
        <v>34</v>
      </c>
      <c r="F495" s="7" t="s">
        <v>41</v>
      </c>
      <c r="G495" s="7">
        <v>953</v>
      </c>
      <c r="H495" s="7">
        <v>35</v>
      </c>
      <c r="I495" s="7" t="s">
        <v>35</v>
      </c>
      <c r="J495" s="7">
        <v>0</v>
      </c>
      <c r="K495" s="7">
        <v>1</v>
      </c>
      <c r="L495" s="7">
        <v>-19.899999999999999</v>
      </c>
      <c r="M495" t="str">
        <f t="shared" si="7"/>
        <v>medium risk</v>
      </c>
    </row>
    <row r="496" spans="1:13">
      <c r="A496" s="7" t="s">
        <v>786</v>
      </c>
      <c r="B496" s="9">
        <v>45208</v>
      </c>
      <c r="C496" s="7">
        <v>2023</v>
      </c>
      <c r="D496" s="7" t="s">
        <v>51</v>
      </c>
      <c r="E496" s="7" t="s">
        <v>34</v>
      </c>
      <c r="F496" s="7" t="s">
        <v>41</v>
      </c>
      <c r="G496" s="7">
        <v>616</v>
      </c>
      <c r="H496" s="7">
        <v>34</v>
      </c>
      <c r="I496" s="7" t="s">
        <v>35</v>
      </c>
      <c r="J496" s="7">
        <v>0</v>
      </c>
      <c r="K496" s="7">
        <v>1</v>
      </c>
      <c r="L496" s="7">
        <v>-12.4</v>
      </c>
      <c r="M496" t="str">
        <f t="shared" si="7"/>
        <v>medium risk</v>
      </c>
    </row>
    <row r="497" spans="1:13">
      <c r="A497" s="7" t="s">
        <v>787</v>
      </c>
      <c r="B497" s="9">
        <v>45239</v>
      </c>
      <c r="C497" s="7">
        <v>2023</v>
      </c>
      <c r="D497" s="7" t="s">
        <v>144</v>
      </c>
      <c r="E497" s="7" t="s">
        <v>54</v>
      </c>
      <c r="F497" s="7" t="s">
        <v>24</v>
      </c>
      <c r="G497" s="7">
        <v>225</v>
      </c>
      <c r="H497" s="7">
        <v>19</v>
      </c>
      <c r="I497" s="7" t="s">
        <v>30</v>
      </c>
      <c r="J497" s="7">
        <v>0</v>
      </c>
      <c r="K497" s="7">
        <v>0</v>
      </c>
      <c r="L497" s="7">
        <v>-0.1</v>
      </c>
      <c r="M497" t="str">
        <f t="shared" si="7"/>
        <v>low risk</v>
      </c>
    </row>
    <row r="498" spans="1:13">
      <c r="A498" s="7" t="s">
        <v>788</v>
      </c>
      <c r="B498" s="9" t="s">
        <v>789</v>
      </c>
      <c r="C498" s="7">
        <v>2023</v>
      </c>
      <c r="D498" s="7" t="s">
        <v>101</v>
      </c>
      <c r="E498" s="7" t="s">
        <v>76</v>
      </c>
      <c r="F498" s="7" t="s">
        <v>24</v>
      </c>
      <c r="G498" s="7">
        <v>270</v>
      </c>
      <c r="H498" s="7">
        <v>7</v>
      </c>
      <c r="I498" s="7" t="s">
        <v>25</v>
      </c>
      <c r="J498" s="7">
        <v>1</v>
      </c>
      <c r="K498" s="7">
        <v>0</v>
      </c>
      <c r="L498" s="7">
        <v>4.5999999999999996</v>
      </c>
      <c r="M498" t="str">
        <f t="shared" si="7"/>
        <v>low risk</v>
      </c>
    </row>
    <row r="499" spans="1:13">
      <c r="A499" s="7" t="s">
        <v>790</v>
      </c>
      <c r="B499" s="9" t="s">
        <v>791</v>
      </c>
      <c r="C499" s="7">
        <v>2023</v>
      </c>
      <c r="D499" s="7" t="s">
        <v>156</v>
      </c>
      <c r="E499" s="7" t="s">
        <v>54</v>
      </c>
      <c r="F499" s="7" t="s">
        <v>41</v>
      </c>
      <c r="G499" s="7">
        <v>437</v>
      </c>
      <c r="H499" s="7">
        <v>29</v>
      </c>
      <c r="I499" s="7" t="s">
        <v>35</v>
      </c>
      <c r="J499" s="7">
        <v>0</v>
      </c>
      <c r="K499" s="7">
        <v>1</v>
      </c>
      <c r="L499" s="7">
        <v>0.2</v>
      </c>
      <c r="M499" t="str">
        <f t="shared" si="7"/>
        <v>low risk</v>
      </c>
    </row>
    <row r="500" spans="1:13">
      <c r="A500" s="7" t="s">
        <v>792</v>
      </c>
      <c r="B500" s="9" t="s">
        <v>793</v>
      </c>
      <c r="C500" s="7">
        <v>2023</v>
      </c>
      <c r="D500" s="7" t="s">
        <v>46</v>
      </c>
      <c r="E500" s="7" t="s">
        <v>76</v>
      </c>
      <c r="F500" s="7" t="s">
        <v>41</v>
      </c>
      <c r="G500" s="7">
        <v>917</v>
      </c>
      <c r="H500" s="7">
        <v>27</v>
      </c>
      <c r="I500" s="7" t="s">
        <v>25</v>
      </c>
      <c r="J500" s="7">
        <v>1</v>
      </c>
      <c r="K500" s="7">
        <v>0</v>
      </c>
      <c r="L500" s="7">
        <v>-1.3</v>
      </c>
      <c r="M500" t="str">
        <f t="shared" si="7"/>
        <v>medium risk</v>
      </c>
    </row>
    <row r="501" spans="1:13">
      <c r="A501" s="7" t="s">
        <v>794</v>
      </c>
      <c r="B501" s="9" t="s">
        <v>795</v>
      </c>
      <c r="C501" s="7">
        <v>2023</v>
      </c>
      <c r="D501" s="7" t="s">
        <v>66</v>
      </c>
      <c r="E501" s="7" t="s">
        <v>34</v>
      </c>
      <c r="F501" s="7" t="s">
        <v>24</v>
      </c>
      <c r="G501" s="7">
        <v>256</v>
      </c>
      <c r="H501" s="7">
        <v>16</v>
      </c>
      <c r="I501" s="7" t="s">
        <v>30</v>
      </c>
      <c r="J501" s="7">
        <v>0</v>
      </c>
      <c r="K501" s="7">
        <v>0</v>
      </c>
      <c r="L501" s="7">
        <v>-2</v>
      </c>
      <c r="M501" t="str">
        <f t="shared" si="7"/>
        <v>low risk</v>
      </c>
    </row>
    <row r="502" spans="1:13">
      <c r="A502" s="7" t="s">
        <v>796</v>
      </c>
      <c r="B502" s="9" t="s">
        <v>797</v>
      </c>
      <c r="C502" s="7">
        <v>2023</v>
      </c>
      <c r="D502" s="7" t="s">
        <v>107</v>
      </c>
      <c r="E502" s="7" t="s">
        <v>29</v>
      </c>
      <c r="F502" s="7" t="s">
        <v>41</v>
      </c>
      <c r="G502" s="7">
        <v>974</v>
      </c>
      <c r="H502" s="7">
        <v>34</v>
      </c>
      <c r="I502" s="7" t="s">
        <v>25</v>
      </c>
      <c r="J502" s="7">
        <v>1</v>
      </c>
      <c r="K502" s="7">
        <v>0</v>
      </c>
      <c r="L502" s="7">
        <v>3</v>
      </c>
      <c r="M502" t="str">
        <f t="shared" si="7"/>
        <v>medium risk</v>
      </c>
    </row>
    <row r="503" spans="1:13">
      <c r="A503" s="7" t="s">
        <v>798</v>
      </c>
      <c r="B503" s="9" t="s">
        <v>799</v>
      </c>
      <c r="C503" s="7">
        <v>2023</v>
      </c>
      <c r="D503" s="7" t="s">
        <v>174</v>
      </c>
      <c r="E503" s="7" t="s">
        <v>34</v>
      </c>
      <c r="F503" s="7" t="s">
        <v>41</v>
      </c>
      <c r="G503" s="7">
        <v>1453</v>
      </c>
      <c r="H503" s="7">
        <v>30</v>
      </c>
      <c r="I503" s="7" t="s">
        <v>25</v>
      </c>
      <c r="J503" s="7">
        <v>1</v>
      </c>
      <c r="K503" s="7">
        <v>0</v>
      </c>
      <c r="L503" s="7">
        <v>16.3</v>
      </c>
      <c r="M503" t="str">
        <f t="shared" si="7"/>
        <v>medium risk</v>
      </c>
    </row>
    <row r="504" spans="1:13">
      <c r="A504" s="7" t="s">
        <v>800</v>
      </c>
      <c r="B504" s="9" t="s">
        <v>801</v>
      </c>
      <c r="C504" s="7">
        <v>2023</v>
      </c>
      <c r="D504" s="7" t="s">
        <v>101</v>
      </c>
      <c r="E504" s="7" t="s">
        <v>47</v>
      </c>
      <c r="F504" s="7" t="s">
        <v>24</v>
      </c>
      <c r="G504" s="7">
        <v>229</v>
      </c>
      <c r="H504" s="7">
        <v>17</v>
      </c>
      <c r="I504" s="7" t="s">
        <v>35</v>
      </c>
      <c r="J504" s="7">
        <v>0</v>
      </c>
      <c r="K504" s="7">
        <v>1</v>
      </c>
      <c r="L504" s="7">
        <v>-14.6</v>
      </c>
      <c r="M504" t="str">
        <f t="shared" si="7"/>
        <v>low risk</v>
      </c>
    </row>
    <row r="505" spans="1:13">
      <c r="A505" s="7" t="s">
        <v>802</v>
      </c>
      <c r="B505" s="9">
        <v>45271</v>
      </c>
      <c r="C505" s="7">
        <v>2023</v>
      </c>
      <c r="D505" s="7" t="s">
        <v>22</v>
      </c>
      <c r="E505" s="7" t="s">
        <v>34</v>
      </c>
      <c r="F505" s="7" t="s">
        <v>24</v>
      </c>
      <c r="G505" s="7">
        <v>47</v>
      </c>
      <c r="H505" s="7">
        <v>15</v>
      </c>
      <c r="I505" s="7" t="s">
        <v>30</v>
      </c>
      <c r="J505" s="7">
        <v>0</v>
      </c>
      <c r="K505" s="7">
        <v>0</v>
      </c>
      <c r="L505" s="7">
        <v>1.6</v>
      </c>
      <c r="M505" t="str">
        <f t="shared" si="7"/>
        <v>low risk</v>
      </c>
    </row>
    <row r="506" spans="1:13">
      <c r="A506" s="7" t="s">
        <v>803</v>
      </c>
      <c r="B506" s="9" t="s">
        <v>804</v>
      </c>
      <c r="C506" s="7">
        <v>2023</v>
      </c>
      <c r="D506" s="7" t="s">
        <v>68</v>
      </c>
      <c r="E506" s="7" t="s">
        <v>47</v>
      </c>
      <c r="F506" s="7" t="s">
        <v>41</v>
      </c>
      <c r="G506" s="7">
        <v>552</v>
      </c>
      <c r="H506" s="7">
        <v>28</v>
      </c>
      <c r="I506" s="7" t="s">
        <v>25</v>
      </c>
      <c r="J506" s="7">
        <v>1</v>
      </c>
      <c r="K506" s="7">
        <v>0</v>
      </c>
      <c r="L506" s="7">
        <v>0.8</v>
      </c>
      <c r="M506" t="str">
        <f t="shared" si="7"/>
        <v>medium risk</v>
      </c>
    </row>
    <row r="507" spans="1:13">
      <c r="A507" s="7" t="s">
        <v>805</v>
      </c>
      <c r="B507" s="9" t="s">
        <v>806</v>
      </c>
      <c r="C507" s="7">
        <v>2023</v>
      </c>
      <c r="D507" s="7" t="s">
        <v>66</v>
      </c>
      <c r="E507" s="7" t="s">
        <v>34</v>
      </c>
      <c r="F507" s="7" t="s">
        <v>24</v>
      </c>
      <c r="G507" s="7">
        <v>100</v>
      </c>
      <c r="H507" s="7">
        <v>26</v>
      </c>
      <c r="I507" s="7" t="s">
        <v>25</v>
      </c>
      <c r="J507" s="7">
        <v>1</v>
      </c>
      <c r="K507" s="7">
        <v>0</v>
      </c>
      <c r="L507" s="7">
        <v>10.6</v>
      </c>
      <c r="M507" t="str">
        <f t="shared" si="7"/>
        <v>low risk</v>
      </c>
    </row>
    <row r="508" spans="1:13">
      <c r="A508" s="7" t="s">
        <v>807</v>
      </c>
      <c r="B508" s="9" t="s">
        <v>808</v>
      </c>
      <c r="C508" s="7">
        <v>2023</v>
      </c>
      <c r="D508" s="7" t="s">
        <v>28</v>
      </c>
      <c r="E508" s="7" t="s">
        <v>34</v>
      </c>
      <c r="F508" s="7" t="s">
        <v>41</v>
      </c>
      <c r="G508" s="7">
        <v>685</v>
      </c>
      <c r="H508" s="7">
        <v>30</v>
      </c>
      <c r="I508" s="7" t="s">
        <v>35</v>
      </c>
      <c r="J508" s="7">
        <v>0</v>
      </c>
      <c r="K508" s="7">
        <v>1</v>
      </c>
      <c r="L508" s="7">
        <v>-8</v>
      </c>
      <c r="M508" t="str">
        <f t="shared" si="7"/>
        <v>medium risk</v>
      </c>
    </row>
    <row r="509" spans="1:13">
      <c r="A509" s="7" t="s">
        <v>809</v>
      </c>
      <c r="B509" s="9" t="s">
        <v>810</v>
      </c>
      <c r="C509" s="7">
        <v>2023</v>
      </c>
      <c r="D509" s="7" t="s">
        <v>37</v>
      </c>
      <c r="E509" s="7" t="s">
        <v>76</v>
      </c>
      <c r="F509" s="7" t="s">
        <v>24</v>
      </c>
      <c r="G509" s="7">
        <v>154</v>
      </c>
      <c r="H509" s="7">
        <v>16</v>
      </c>
      <c r="I509" s="7" t="s">
        <v>30</v>
      </c>
      <c r="J509" s="7">
        <v>0</v>
      </c>
      <c r="K509" s="7">
        <v>0</v>
      </c>
      <c r="L509" s="7">
        <v>-2.2000000000000002</v>
      </c>
      <c r="M509" t="str">
        <f t="shared" si="7"/>
        <v>low risk</v>
      </c>
    </row>
    <row r="510" spans="1:13">
      <c r="A510" s="7" t="s">
        <v>811</v>
      </c>
      <c r="B510" s="9">
        <v>44997</v>
      </c>
      <c r="C510" s="7">
        <v>2023</v>
      </c>
      <c r="D510" s="7" t="s">
        <v>101</v>
      </c>
      <c r="E510" s="7" t="s">
        <v>34</v>
      </c>
      <c r="F510" s="7" t="s">
        <v>24</v>
      </c>
      <c r="G510" s="7">
        <v>249</v>
      </c>
      <c r="H510" s="7">
        <v>26</v>
      </c>
      <c r="I510" s="7" t="s">
        <v>35</v>
      </c>
      <c r="J510" s="7">
        <v>0</v>
      </c>
      <c r="K510" s="7">
        <v>1</v>
      </c>
      <c r="L510" s="7">
        <v>-9.3000000000000007</v>
      </c>
      <c r="M510" t="str">
        <f t="shared" si="7"/>
        <v>low risk</v>
      </c>
    </row>
    <row r="511" spans="1:13">
      <c r="A511" s="7" t="s">
        <v>812</v>
      </c>
      <c r="B511" s="9">
        <v>45089</v>
      </c>
      <c r="C511" s="7">
        <v>2023</v>
      </c>
      <c r="D511" s="7" t="s">
        <v>66</v>
      </c>
      <c r="E511" s="7" t="s">
        <v>63</v>
      </c>
      <c r="F511" s="7" t="s">
        <v>41</v>
      </c>
      <c r="G511" s="7">
        <v>358</v>
      </c>
      <c r="H511" s="7">
        <v>36</v>
      </c>
      <c r="I511" s="7" t="s">
        <v>25</v>
      </c>
      <c r="J511" s="7">
        <v>1</v>
      </c>
      <c r="K511" s="7">
        <v>0</v>
      </c>
      <c r="L511" s="7">
        <v>9.8000000000000007</v>
      </c>
      <c r="M511" t="str">
        <f t="shared" si="7"/>
        <v>low risk</v>
      </c>
    </row>
    <row r="512" spans="1:13">
      <c r="A512" s="7" t="s">
        <v>813</v>
      </c>
      <c r="B512" s="9">
        <v>45242</v>
      </c>
      <c r="C512" s="7">
        <v>2023</v>
      </c>
      <c r="D512" s="7" t="s">
        <v>22</v>
      </c>
      <c r="E512" s="7" t="s">
        <v>34</v>
      </c>
      <c r="F512" s="7" t="s">
        <v>24</v>
      </c>
      <c r="G512" s="7">
        <v>342</v>
      </c>
      <c r="H512" s="7">
        <v>12</v>
      </c>
      <c r="I512" s="7" t="s">
        <v>30</v>
      </c>
      <c r="J512" s="7">
        <v>0</v>
      </c>
      <c r="K512" s="7">
        <v>0</v>
      </c>
      <c r="L512" s="7">
        <v>-0.5</v>
      </c>
      <c r="M512" t="str">
        <f t="shared" si="7"/>
        <v>low risk</v>
      </c>
    </row>
    <row r="513" spans="1:13">
      <c r="A513" s="7" t="s">
        <v>814</v>
      </c>
      <c r="B513" s="9" t="s">
        <v>815</v>
      </c>
      <c r="C513" s="7">
        <v>2023</v>
      </c>
      <c r="D513" s="7" t="s">
        <v>37</v>
      </c>
      <c r="E513" s="7" t="s">
        <v>29</v>
      </c>
      <c r="F513" s="7" t="s">
        <v>41</v>
      </c>
      <c r="G513" s="7">
        <v>957</v>
      </c>
      <c r="H513" s="7">
        <v>40</v>
      </c>
      <c r="I513" s="7" t="s">
        <v>30</v>
      </c>
      <c r="J513" s="7">
        <v>0</v>
      </c>
      <c r="K513" s="7">
        <v>0</v>
      </c>
      <c r="L513" s="7">
        <v>-4.3</v>
      </c>
      <c r="M513" t="str">
        <f t="shared" si="7"/>
        <v>medium risk</v>
      </c>
    </row>
    <row r="514" spans="1:13">
      <c r="A514" s="7" t="s">
        <v>816</v>
      </c>
      <c r="B514" s="9" t="s">
        <v>817</v>
      </c>
      <c r="C514" s="7">
        <v>2023</v>
      </c>
      <c r="D514" s="7" t="s">
        <v>37</v>
      </c>
      <c r="E514" s="7" t="s">
        <v>23</v>
      </c>
      <c r="F514" s="7" t="s">
        <v>41</v>
      </c>
      <c r="G514" s="7">
        <v>984</v>
      </c>
      <c r="H514" s="7">
        <v>30</v>
      </c>
      <c r="I514" s="7" t="s">
        <v>35</v>
      </c>
      <c r="J514" s="7">
        <v>0</v>
      </c>
      <c r="K514" s="7">
        <v>1</v>
      </c>
      <c r="L514" s="7">
        <v>-4</v>
      </c>
      <c r="M514" t="str">
        <f t="shared" si="7"/>
        <v>medium risk</v>
      </c>
    </row>
    <row r="515" spans="1:13">
      <c r="A515" s="7" t="s">
        <v>818</v>
      </c>
      <c r="B515" s="9">
        <v>45352</v>
      </c>
      <c r="C515" s="7">
        <v>2024</v>
      </c>
      <c r="D515" s="7" t="s">
        <v>28</v>
      </c>
      <c r="E515" s="7" t="s">
        <v>38</v>
      </c>
      <c r="F515" s="7" t="s">
        <v>41</v>
      </c>
      <c r="G515" s="7">
        <v>697</v>
      </c>
      <c r="H515" s="7">
        <v>28</v>
      </c>
      <c r="I515" s="7" t="s">
        <v>25</v>
      </c>
      <c r="J515" s="7">
        <v>1</v>
      </c>
      <c r="K515" s="7">
        <v>0</v>
      </c>
      <c r="L515" s="7">
        <v>-2.1</v>
      </c>
      <c r="M515" t="str">
        <f t="shared" ref="M515:M578" si="8">IF(G515&gt;2000,"high risk",IF(G515&gt;500,"medium risk","low risk"))</f>
        <v>medium risk</v>
      </c>
    </row>
    <row r="516" spans="1:13">
      <c r="A516" s="7" t="s">
        <v>819</v>
      </c>
      <c r="B516" s="9">
        <v>45474</v>
      </c>
      <c r="C516" s="7">
        <v>2024</v>
      </c>
      <c r="D516" s="7" t="s">
        <v>156</v>
      </c>
      <c r="E516" s="7" t="s">
        <v>34</v>
      </c>
      <c r="F516" s="7" t="s">
        <v>41</v>
      </c>
      <c r="G516" s="7">
        <v>2130</v>
      </c>
      <c r="H516" s="7">
        <v>37</v>
      </c>
      <c r="I516" s="7" t="s">
        <v>25</v>
      </c>
      <c r="J516" s="7">
        <v>1</v>
      </c>
      <c r="K516" s="7">
        <v>0</v>
      </c>
      <c r="L516" s="7">
        <v>7.8</v>
      </c>
      <c r="M516" t="str">
        <f t="shared" si="8"/>
        <v>high risk</v>
      </c>
    </row>
    <row r="517" spans="1:13">
      <c r="A517" s="7" t="s">
        <v>820</v>
      </c>
      <c r="B517" s="9" t="s">
        <v>821</v>
      </c>
      <c r="C517" s="7">
        <v>2024</v>
      </c>
      <c r="D517" s="7" t="s">
        <v>58</v>
      </c>
      <c r="E517" s="7" t="s">
        <v>34</v>
      </c>
      <c r="F517" s="7" t="s">
        <v>41</v>
      </c>
      <c r="G517" s="7">
        <v>1098</v>
      </c>
      <c r="H517" s="7">
        <v>39</v>
      </c>
      <c r="I517" s="7" t="s">
        <v>35</v>
      </c>
      <c r="J517" s="7">
        <v>0</v>
      </c>
      <c r="K517" s="7">
        <v>1</v>
      </c>
      <c r="L517" s="7">
        <v>-13.3</v>
      </c>
      <c r="M517" t="str">
        <f t="shared" si="8"/>
        <v>medium risk</v>
      </c>
    </row>
    <row r="518" spans="1:13">
      <c r="A518" s="7" t="s">
        <v>822</v>
      </c>
      <c r="B518" s="9" t="s">
        <v>823</v>
      </c>
      <c r="C518" s="7">
        <v>2024</v>
      </c>
      <c r="D518" s="7" t="s">
        <v>44</v>
      </c>
      <c r="E518" s="7" t="s">
        <v>76</v>
      </c>
      <c r="F518" s="7" t="s">
        <v>24</v>
      </c>
      <c r="G518" s="7">
        <v>394</v>
      </c>
      <c r="H518" s="7">
        <v>9</v>
      </c>
      <c r="I518" s="7" t="s">
        <v>25</v>
      </c>
      <c r="J518" s="7">
        <v>1</v>
      </c>
      <c r="K518" s="7">
        <v>0</v>
      </c>
      <c r="L518" s="7">
        <v>1.6</v>
      </c>
      <c r="M518" t="str">
        <f t="shared" si="8"/>
        <v>low risk</v>
      </c>
    </row>
    <row r="519" spans="1:13">
      <c r="A519" s="7" t="s">
        <v>824</v>
      </c>
      <c r="B519" s="9">
        <v>45293</v>
      </c>
      <c r="C519" s="7">
        <v>2024</v>
      </c>
      <c r="D519" s="7" t="s">
        <v>96</v>
      </c>
      <c r="E519" s="7" t="s">
        <v>23</v>
      </c>
      <c r="F519" s="7" t="s">
        <v>24</v>
      </c>
      <c r="G519" s="7">
        <v>145</v>
      </c>
      <c r="H519" s="7">
        <v>19</v>
      </c>
      <c r="I519" s="7" t="s">
        <v>35</v>
      </c>
      <c r="J519" s="7">
        <v>0</v>
      </c>
      <c r="K519" s="7">
        <v>1</v>
      </c>
      <c r="L519" s="7">
        <v>-8.5</v>
      </c>
      <c r="M519" t="str">
        <f t="shared" si="8"/>
        <v>low risk</v>
      </c>
    </row>
    <row r="520" spans="1:13">
      <c r="A520" s="7" t="s">
        <v>825</v>
      </c>
      <c r="B520" s="9">
        <v>45475</v>
      </c>
      <c r="C520" s="7">
        <v>2024</v>
      </c>
      <c r="D520" s="7" t="s">
        <v>156</v>
      </c>
      <c r="E520" s="7" t="s">
        <v>29</v>
      </c>
      <c r="F520" s="7" t="s">
        <v>24</v>
      </c>
      <c r="G520" s="7">
        <v>239</v>
      </c>
      <c r="H520" s="7">
        <v>18</v>
      </c>
      <c r="I520" s="7" t="s">
        <v>30</v>
      </c>
      <c r="J520" s="7">
        <v>0</v>
      </c>
      <c r="K520" s="7">
        <v>0</v>
      </c>
      <c r="L520" s="7">
        <v>2</v>
      </c>
      <c r="M520" t="str">
        <f t="shared" si="8"/>
        <v>low risk</v>
      </c>
    </row>
    <row r="521" spans="1:13">
      <c r="A521" s="7" t="s">
        <v>826</v>
      </c>
      <c r="B521" s="9" t="s">
        <v>827</v>
      </c>
      <c r="C521" s="7">
        <v>2024</v>
      </c>
      <c r="D521" s="7" t="s">
        <v>46</v>
      </c>
      <c r="E521" s="7" t="s">
        <v>83</v>
      </c>
      <c r="F521" s="7" t="s">
        <v>24</v>
      </c>
      <c r="G521" s="7">
        <v>214</v>
      </c>
      <c r="H521" s="7">
        <v>27</v>
      </c>
      <c r="I521" s="7" t="s">
        <v>25</v>
      </c>
      <c r="J521" s="7">
        <v>1</v>
      </c>
      <c r="K521" s="7">
        <v>0</v>
      </c>
      <c r="L521" s="7">
        <v>10.199999999999999</v>
      </c>
      <c r="M521" t="str">
        <f t="shared" si="8"/>
        <v>low risk</v>
      </c>
    </row>
    <row r="522" spans="1:13">
      <c r="A522" s="7" t="s">
        <v>828</v>
      </c>
      <c r="B522" s="9">
        <v>45294</v>
      </c>
      <c r="C522" s="7">
        <v>2024</v>
      </c>
      <c r="D522" s="7" t="s">
        <v>66</v>
      </c>
      <c r="E522" s="7" t="s">
        <v>34</v>
      </c>
      <c r="F522" s="7" t="s">
        <v>24</v>
      </c>
      <c r="G522" s="7">
        <v>193</v>
      </c>
      <c r="H522" s="7">
        <v>7</v>
      </c>
      <c r="I522" s="7" t="s">
        <v>35</v>
      </c>
      <c r="J522" s="7">
        <v>0</v>
      </c>
      <c r="K522" s="7">
        <v>1</v>
      </c>
      <c r="L522" s="7">
        <v>-19.399999999999999</v>
      </c>
      <c r="M522" t="str">
        <f t="shared" si="8"/>
        <v>low risk</v>
      </c>
    </row>
    <row r="523" spans="1:13">
      <c r="A523" s="7" t="s">
        <v>829</v>
      </c>
      <c r="B523" s="9">
        <v>45476</v>
      </c>
      <c r="C523" s="7">
        <v>2024</v>
      </c>
      <c r="D523" s="7" t="s">
        <v>28</v>
      </c>
      <c r="E523" s="7" t="s">
        <v>38</v>
      </c>
      <c r="F523" s="7" t="s">
        <v>41</v>
      </c>
      <c r="G523" s="7">
        <v>1633</v>
      </c>
      <c r="H523" s="7">
        <v>40</v>
      </c>
      <c r="I523" s="7" t="s">
        <v>25</v>
      </c>
      <c r="J523" s="7">
        <v>1</v>
      </c>
      <c r="K523" s="7">
        <v>0</v>
      </c>
      <c r="L523" s="7">
        <v>1.4</v>
      </c>
      <c r="M523" t="str">
        <f t="shared" si="8"/>
        <v>medium risk</v>
      </c>
    </row>
    <row r="524" spans="1:13">
      <c r="A524" s="7" t="s">
        <v>830</v>
      </c>
      <c r="B524" s="9">
        <v>45538</v>
      </c>
      <c r="C524" s="7">
        <v>2024</v>
      </c>
      <c r="D524" s="7" t="s">
        <v>37</v>
      </c>
      <c r="E524" s="7" t="s">
        <v>34</v>
      </c>
      <c r="F524" s="7" t="s">
        <v>24</v>
      </c>
      <c r="G524" s="7">
        <v>175</v>
      </c>
      <c r="H524" s="7">
        <v>13</v>
      </c>
      <c r="I524" s="7" t="s">
        <v>30</v>
      </c>
      <c r="J524" s="7">
        <v>0</v>
      </c>
      <c r="K524" s="7">
        <v>0</v>
      </c>
      <c r="L524" s="7">
        <v>-1</v>
      </c>
      <c r="M524" t="str">
        <f t="shared" si="8"/>
        <v>low risk</v>
      </c>
    </row>
    <row r="525" spans="1:13">
      <c r="A525" s="7" t="s">
        <v>831</v>
      </c>
      <c r="B525" s="9" t="s">
        <v>832</v>
      </c>
      <c r="C525" s="7">
        <v>2024</v>
      </c>
      <c r="D525" s="7" t="s">
        <v>112</v>
      </c>
      <c r="E525" s="7" t="s">
        <v>34</v>
      </c>
      <c r="F525" s="7" t="s">
        <v>41</v>
      </c>
      <c r="G525" s="7">
        <v>618</v>
      </c>
      <c r="H525" s="7">
        <v>30</v>
      </c>
      <c r="I525" s="7" t="s">
        <v>35</v>
      </c>
      <c r="J525" s="7">
        <v>0</v>
      </c>
      <c r="K525" s="7">
        <v>1</v>
      </c>
      <c r="L525" s="7">
        <v>-9.6999999999999993</v>
      </c>
      <c r="M525" t="str">
        <f t="shared" si="8"/>
        <v>medium risk</v>
      </c>
    </row>
    <row r="526" spans="1:13">
      <c r="A526" s="7" t="s">
        <v>833</v>
      </c>
      <c r="B526" s="9" t="s">
        <v>834</v>
      </c>
      <c r="C526" s="7">
        <v>2024</v>
      </c>
      <c r="D526" s="7" t="s">
        <v>44</v>
      </c>
      <c r="E526" s="7" t="s">
        <v>34</v>
      </c>
      <c r="F526" s="7" t="s">
        <v>41</v>
      </c>
      <c r="G526" s="7">
        <v>2456</v>
      </c>
      <c r="H526" s="7">
        <v>31</v>
      </c>
      <c r="I526" s="7" t="s">
        <v>35</v>
      </c>
      <c r="J526" s="7">
        <v>0</v>
      </c>
      <c r="K526" s="7">
        <v>1</v>
      </c>
      <c r="L526" s="7">
        <v>-14.5</v>
      </c>
      <c r="M526" t="str">
        <f t="shared" si="8"/>
        <v>high risk</v>
      </c>
    </row>
    <row r="527" spans="1:13">
      <c r="A527" s="7" t="s">
        <v>835</v>
      </c>
      <c r="B527" s="9" t="s">
        <v>836</v>
      </c>
      <c r="C527" s="7">
        <v>2024</v>
      </c>
      <c r="D527" s="7" t="s">
        <v>75</v>
      </c>
      <c r="E527" s="7" t="s">
        <v>23</v>
      </c>
      <c r="F527" s="7" t="s">
        <v>24</v>
      </c>
      <c r="G527" s="7">
        <v>400</v>
      </c>
      <c r="H527" s="7">
        <v>24</v>
      </c>
      <c r="I527" s="7" t="s">
        <v>35</v>
      </c>
      <c r="J527" s="7">
        <v>0</v>
      </c>
      <c r="K527" s="7">
        <v>1</v>
      </c>
      <c r="L527" s="7">
        <v>-20.6</v>
      </c>
      <c r="M527" t="str">
        <f t="shared" si="8"/>
        <v>low risk</v>
      </c>
    </row>
    <row r="528" spans="1:13">
      <c r="A528" s="7" t="s">
        <v>837</v>
      </c>
      <c r="B528" s="9">
        <v>45295</v>
      </c>
      <c r="C528" s="7">
        <v>2024</v>
      </c>
      <c r="D528" s="7" t="s">
        <v>174</v>
      </c>
      <c r="E528" s="7" t="s">
        <v>54</v>
      </c>
      <c r="F528" s="7" t="s">
        <v>24</v>
      </c>
      <c r="G528" s="7">
        <v>119</v>
      </c>
      <c r="H528" s="7">
        <v>29</v>
      </c>
      <c r="I528" s="7" t="s">
        <v>25</v>
      </c>
      <c r="J528" s="7">
        <v>1</v>
      </c>
      <c r="K528" s="7">
        <v>0</v>
      </c>
      <c r="L528" s="7">
        <v>16.7</v>
      </c>
      <c r="M528" t="str">
        <f t="shared" si="8"/>
        <v>low risk</v>
      </c>
    </row>
    <row r="529" spans="1:13">
      <c r="A529" s="7" t="s">
        <v>838</v>
      </c>
      <c r="B529" s="9" t="s">
        <v>839</v>
      </c>
      <c r="C529" s="7">
        <v>2024</v>
      </c>
      <c r="D529" s="7" t="s">
        <v>37</v>
      </c>
      <c r="E529" s="7" t="s">
        <v>63</v>
      </c>
      <c r="F529" s="7" t="s">
        <v>41</v>
      </c>
      <c r="G529" s="7">
        <v>644</v>
      </c>
      <c r="H529" s="7">
        <v>38</v>
      </c>
      <c r="I529" s="7" t="s">
        <v>25</v>
      </c>
      <c r="J529" s="7">
        <v>1</v>
      </c>
      <c r="K529" s="7">
        <v>0</v>
      </c>
      <c r="L529" s="7">
        <v>3.9</v>
      </c>
      <c r="M529" t="str">
        <f t="shared" si="8"/>
        <v>medium risk</v>
      </c>
    </row>
    <row r="530" spans="1:13">
      <c r="A530" s="7" t="s">
        <v>840</v>
      </c>
      <c r="B530" s="9">
        <v>45449</v>
      </c>
      <c r="C530" s="7">
        <v>2024</v>
      </c>
      <c r="D530" s="7" t="s">
        <v>46</v>
      </c>
      <c r="E530" s="7" t="s">
        <v>47</v>
      </c>
      <c r="F530" s="7" t="s">
        <v>24</v>
      </c>
      <c r="G530" s="7">
        <v>336</v>
      </c>
      <c r="H530" s="7">
        <v>16</v>
      </c>
      <c r="I530" s="7" t="s">
        <v>25</v>
      </c>
      <c r="J530" s="7">
        <v>1</v>
      </c>
      <c r="K530" s="7">
        <v>0</v>
      </c>
      <c r="L530" s="7">
        <v>1.9</v>
      </c>
      <c r="M530" t="str">
        <f t="shared" si="8"/>
        <v>low risk</v>
      </c>
    </row>
    <row r="531" spans="1:13">
      <c r="A531" s="7" t="s">
        <v>841</v>
      </c>
      <c r="B531" s="9">
        <v>45602</v>
      </c>
      <c r="C531" s="7">
        <v>2024</v>
      </c>
      <c r="D531" s="7" t="s">
        <v>156</v>
      </c>
      <c r="E531" s="7" t="s">
        <v>76</v>
      </c>
      <c r="F531" s="7" t="s">
        <v>41</v>
      </c>
      <c r="G531" s="7">
        <v>954</v>
      </c>
      <c r="H531" s="7">
        <v>41</v>
      </c>
      <c r="I531" s="7" t="s">
        <v>35</v>
      </c>
      <c r="J531" s="7">
        <v>0</v>
      </c>
      <c r="K531" s="7">
        <v>1</v>
      </c>
      <c r="L531" s="7">
        <v>-8.6</v>
      </c>
      <c r="M531" t="str">
        <f t="shared" si="8"/>
        <v>medium risk</v>
      </c>
    </row>
    <row r="532" spans="1:13">
      <c r="A532" s="7" t="s">
        <v>842</v>
      </c>
      <c r="B532" s="9">
        <v>45419</v>
      </c>
      <c r="C532" s="7">
        <v>2024</v>
      </c>
      <c r="D532" s="7" t="s">
        <v>46</v>
      </c>
      <c r="E532" s="7" t="s">
        <v>47</v>
      </c>
      <c r="F532" s="7" t="s">
        <v>24</v>
      </c>
      <c r="G532" s="7">
        <v>348</v>
      </c>
      <c r="H532" s="7">
        <v>31</v>
      </c>
      <c r="I532" s="7" t="s">
        <v>25</v>
      </c>
      <c r="J532" s="7">
        <v>1</v>
      </c>
      <c r="K532" s="7">
        <v>0</v>
      </c>
      <c r="L532" s="7">
        <v>11.7</v>
      </c>
      <c r="M532" t="str">
        <f t="shared" si="8"/>
        <v>low risk</v>
      </c>
    </row>
    <row r="533" spans="1:13">
      <c r="A533" s="7" t="s">
        <v>843</v>
      </c>
      <c r="B533" s="9">
        <v>45542</v>
      </c>
      <c r="C533" s="7">
        <v>2024</v>
      </c>
      <c r="D533" s="7" t="s">
        <v>174</v>
      </c>
      <c r="E533" s="7" t="s">
        <v>83</v>
      </c>
      <c r="F533" s="7" t="s">
        <v>24</v>
      </c>
      <c r="G533" s="7">
        <v>433</v>
      </c>
      <c r="H533" s="7">
        <v>13</v>
      </c>
      <c r="I533" s="7" t="s">
        <v>35</v>
      </c>
      <c r="J533" s="7">
        <v>0</v>
      </c>
      <c r="K533" s="7">
        <v>1</v>
      </c>
      <c r="L533" s="7">
        <v>-14.8</v>
      </c>
      <c r="M533" t="str">
        <f t="shared" si="8"/>
        <v>low risk</v>
      </c>
    </row>
    <row r="534" spans="1:13">
      <c r="A534" s="7" t="s">
        <v>844</v>
      </c>
      <c r="B534" s="9">
        <v>45603</v>
      </c>
      <c r="C534" s="7">
        <v>2024</v>
      </c>
      <c r="D534" s="7" t="s">
        <v>46</v>
      </c>
      <c r="E534" s="7" t="s">
        <v>83</v>
      </c>
      <c r="F534" s="7" t="s">
        <v>41</v>
      </c>
      <c r="G534" s="7">
        <v>398</v>
      </c>
      <c r="H534" s="7">
        <v>40</v>
      </c>
      <c r="I534" s="7" t="s">
        <v>30</v>
      </c>
      <c r="J534" s="7">
        <v>0</v>
      </c>
      <c r="K534" s="7">
        <v>0</v>
      </c>
      <c r="L534" s="7">
        <v>-2.6</v>
      </c>
      <c r="M534" t="str">
        <f t="shared" si="8"/>
        <v>low risk</v>
      </c>
    </row>
    <row r="535" spans="1:13">
      <c r="A535" s="7" t="s">
        <v>845</v>
      </c>
      <c r="B535" s="9" t="s">
        <v>846</v>
      </c>
      <c r="C535" s="7">
        <v>2024</v>
      </c>
      <c r="D535" s="7" t="s">
        <v>33</v>
      </c>
      <c r="E535" s="7" t="s">
        <v>38</v>
      </c>
      <c r="F535" s="7" t="s">
        <v>41</v>
      </c>
      <c r="G535" s="7">
        <v>444</v>
      </c>
      <c r="H535" s="7">
        <v>39</v>
      </c>
      <c r="I535" s="7" t="s">
        <v>35</v>
      </c>
      <c r="J535" s="7">
        <v>0</v>
      </c>
      <c r="K535" s="7">
        <v>1</v>
      </c>
      <c r="L535" s="7">
        <v>-7.5</v>
      </c>
      <c r="M535" t="str">
        <f t="shared" si="8"/>
        <v>low risk</v>
      </c>
    </row>
    <row r="536" spans="1:13">
      <c r="A536" s="7" t="s">
        <v>847</v>
      </c>
      <c r="B536" s="9" t="s">
        <v>848</v>
      </c>
      <c r="C536" s="7">
        <v>2024</v>
      </c>
      <c r="D536" s="7" t="s">
        <v>75</v>
      </c>
      <c r="E536" s="7" t="s">
        <v>38</v>
      </c>
      <c r="F536" s="7" t="s">
        <v>41</v>
      </c>
      <c r="G536" s="7">
        <v>829</v>
      </c>
      <c r="H536" s="7">
        <v>33</v>
      </c>
      <c r="I536" s="7" t="s">
        <v>25</v>
      </c>
      <c r="J536" s="7">
        <v>1</v>
      </c>
      <c r="K536" s="7">
        <v>0</v>
      </c>
      <c r="L536" s="7">
        <v>21.5</v>
      </c>
      <c r="M536" t="str">
        <f t="shared" si="8"/>
        <v>medium risk</v>
      </c>
    </row>
    <row r="537" spans="1:13">
      <c r="A537" s="7" t="s">
        <v>849</v>
      </c>
      <c r="B537" s="9">
        <v>45573</v>
      </c>
      <c r="C537" s="7">
        <v>2024</v>
      </c>
      <c r="D537" s="7" t="s">
        <v>115</v>
      </c>
      <c r="E537" s="7" t="s">
        <v>38</v>
      </c>
      <c r="F537" s="7" t="s">
        <v>41</v>
      </c>
      <c r="G537" s="7">
        <v>786</v>
      </c>
      <c r="H537" s="7">
        <v>38</v>
      </c>
      <c r="I537" s="7" t="s">
        <v>25</v>
      </c>
      <c r="J537" s="7">
        <v>1</v>
      </c>
      <c r="K537" s="7">
        <v>0</v>
      </c>
      <c r="L537" s="7">
        <v>14.3</v>
      </c>
      <c r="M537" t="str">
        <f t="shared" si="8"/>
        <v>medium risk</v>
      </c>
    </row>
    <row r="538" spans="1:13">
      <c r="A538" s="7" t="s">
        <v>850</v>
      </c>
      <c r="B538" s="9">
        <v>45604</v>
      </c>
      <c r="C538" s="7">
        <v>2024</v>
      </c>
      <c r="D538" s="7" t="s">
        <v>40</v>
      </c>
      <c r="E538" s="7" t="s">
        <v>47</v>
      </c>
      <c r="F538" s="7" t="s">
        <v>24</v>
      </c>
      <c r="G538" s="7">
        <v>326</v>
      </c>
      <c r="H538" s="7">
        <v>24</v>
      </c>
      <c r="I538" s="7" t="s">
        <v>30</v>
      </c>
      <c r="J538" s="7">
        <v>0</v>
      </c>
      <c r="K538" s="7">
        <v>0</v>
      </c>
      <c r="L538" s="7">
        <v>1.7</v>
      </c>
      <c r="M538" t="str">
        <f t="shared" si="8"/>
        <v>low risk</v>
      </c>
    </row>
    <row r="539" spans="1:13">
      <c r="A539" s="7" t="s">
        <v>851</v>
      </c>
      <c r="B539" s="9" t="s">
        <v>852</v>
      </c>
      <c r="C539" s="7">
        <v>2024</v>
      </c>
      <c r="D539" s="7" t="s">
        <v>46</v>
      </c>
      <c r="E539" s="7" t="s">
        <v>34</v>
      </c>
      <c r="F539" s="7" t="s">
        <v>41</v>
      </c>
      <c r="G539" s="7">
        <v>883</v>
      </c>
      <c r="H539" s="7">
        <v>32</v>
      </c>
      <c r="I539" s="7" t="s">
        <v>30</v>
      </c>
      <c r="J539" s="7">
        <v>0</v>
      </c>
      <c r="K539" s="7">
        <v>0</v>
      </c>
      <c r="L539" s="7">
        <v>-3</v>
      </c>
      <c r="M539" t="str">
        <f t="shared" si="8"/>
        <v>medium risk</v>
      </c>
    </row>
    <row r="540" spans="1:13">
      <c r="A540" s="7" t="s">
        <v>853</v>
      </c>
      <c r="B540" s="9" t="s">
        <v>854</v>
      </c>
      <c r="C540" s="7">
        <v>2024</v>
      </c>
      <c r="D540" s="7" t="s">
        <v>46</v>
      </c>
      <c r="E540" s="7" t="s">
        <v>23</v>
      </c>
      <c r="F540" s="7" t="s">
        <v>24</v>
      </c>
      <c r="G540" s="7">
        <v>278</v>
      </c>
      <c r="H540" s="7">
        <v>20</v>
      </c>
      <c r="I540" s="7" t="s">
        <v>35</v>
      </c>
      <c r="J540" s="7">
        <v>0</v>
      </c>
      <c r="K540" s="7">
        <v>1</v>
      </c>
      <c r="L540" s="7">
        <v>-9.6</v>
      </c>
      <c r="M540" t="str">
        <f t="shared" si="8"/>
        <v>low risk</v>
      </c>
    </row>
    <row r="541" spans="1:13">
      <c r="A541" s="7" t="s">
        <v>855</v>
      </c>
      <c r="B541" s="9">
        <v>45331</v>
      </c>
      <c r="C541" s="7">
        <v>2024</v>
      </c>
      <c r="D541" s="7" t="s">
        <v>156</v>
      </c>
      <c r="E541" s="7" t="s">
        <v>34</v>
      </c>
      <c r="F541" s="7" t="s">
        <v>41</v>
      </c>
      <c r="G541" s="7">
        <v>1056</v>
      </c>
      <c r="H541" s="7">
        <v>46</v>
      </c>
      <c r="I541" s="7" t="s">
        <v>25</v>
      </c>
      <c r="J541" s="7">
        <v>1</v>
      </c>
      <c r="K541" s="7">
        <v>0</v>
      </c>
      <c r="L541" s="7">
        <v>12.8</v>
      </c>
      <c r="M541" t="str">
        <f t="shared" si="8"/>
        <v>medium risk</v>
      </c>
    </row>
    <row r="542" spans="1:13">
      <c r="A542" s="7" t="s">
        <v>856</v>
      </c>
      <c r="B542" s="9" t="s">
        <v>857</v>
      </c>
      <c r="C542" s="7">
        <v>2024</v>
      </c>
      <c r="D542" s="7" t="s">
        <v>37</v>
      </c>
      <c r="E542" s="7" t="s">
        <v>38</v>
      </c>
      <c r="F542" s="7" t="s">
        <v>41</v>
      </c>
      <c r="G542" s="7">
        <v>962</v>
      </c>
      <c r="H542" s="7">
        <v>39</v>
      </c>
      <c r="I542" s="7" t="s">
        <v>30</v>
      </c>
      <c r="J542" s="7">
        <v>0</v>
      </c>
      <c r="K542" s="7">
        <v>0</v>
      </c>
      <c r="L542" s="7">
        <v>-7.9</v>
      </c>
      <c r="M542" t="str">
        <f t="shared" si="8"/>
        <v>medium risk</v>
      </c>
    </row>
    <row r="543" spans="1:13">
      <c r="A543" s="7" t="s">
        <v>858</v>
      </c>
      <c r="B543" s="9" t="s">
        <v>857</v>
      </c>
      <c r="C543" s="7">
        <v>2024</v>
      </c>
      <c r="D543" s="7" t="s">
        <v>75</v>
      </c>
      <c r="E543" s="7" t="s">
        <v>34</v>
      </c>
      <c r="F543" s="7" t="s">
        <v>41</v>
      </c>
      <c r="G543" s="7">
        <v>448</v>
      </c>
      <c r="H543" s="7">
        <v>52</v>
      </c>
      <c r="I543" s="7" t="s">
        <v>25</v>
      </c>
      <c r="J543" s="7">
        <v>1</v>
      </c>
      <c r="K543" s="7">
        <v>0</v>
      </c>
      <c r="L543" s="7">
        <v>7.3</v>
      </c>
      <c r="M543" t="str">
        <f t="shared" si="8"/>
        <v>low risk</v>
      </c>
    </row>
    <row r="544" spans="1:13">
      <c r="A544" s="7" t="s">
        <v>859</v>
      </c>
      <c r="B544" s="9" t="s">
        <v>860</v>
      </c>
      <c r="C544" s="7">
        <v>2024</v>
      </c>
      <c r="D544" s="7" t="s">
        <v>40</v>
      </c>
      <c r="E544" s="7" t="s">
        <v>76</v>
      </c>
      <c r="F544" s="7" t="s">
        <v>41</v>
      </c>
      <c r="G544" s="7">
        <v>1622</v>
      </c>
      <c r="H544" s="7">
        <v>42</v>
      </c>
      <c r="I544" s="7" t="s">
        <v>35</v>
      </c>
      <c r="J544" s="7">
        <v>0</v>
      </c>
      <c r="K544" s="7">
        <v>1</v>
      </c>
      <c r="L544" s="7">
        <v>-5.5</v>
      </c>
      <c r="M544" t="str">
        <f t="shared" si="8"/>
        <v>medium risk</v>
      </c>
    </row>
    <row r="545" spans="1:13">
      <c r="A545" s="7" t="s">
        <v>861</v>
      </c>
      <c r="B545" s="9">
        <v>45422</v>
      </c>
      <c r="C545" s="7">
        <v>2024</v>
      </c>
      <c r="D545" s="7" t="s">
        <v>46</v>
      </c>
      <c r="E545" s="7" t="s">
        <v>23</v>
      </c>
      <c r="F545" s="7" t="s">
        <v>41</v>
      </c>
      <c r="G545" s="7">
        <v>1246</v>
      </c>
      <c r="H545" s="7">
        <v>24</v>
      </c>
      <c r="I545" s="7" t="s">
        <v>35</v>
      </c>
      <c r="J545" s="7">
        <v>0</v>
      </c>
      <c r="K545" s="7">
        <v>1</v>
      </c>
      <c r="L545" s="7">
        <v>-27</v>
      </c>
      <c r="M545" t="str">
        <f t="shared" si="8"/>
        <v>medium risk</v>
      </c>
    </row>
    <row r="546" spans="1:13">
      <c r="A546" s="7" t="s">
        <v>862</v>
      </c>
      <c r="B546" s="9">
        <v>45545</v>
      </c>
      <c r="C546" s="7">
        <v>2024</v>
      </c>
      <c r="D546" s="7" t="s">
        <v>44</v>
      </c>
      <c r="E546" s="7" t="s">
        <v>34</v>
      </c>
      <c r="F546" s="7" t="s">
        <v>41</v>
      </c>
      <c r="G546" s="7">
        <v>1180</v>
      </c>
      <c r="H546" s="7">
        <v>34</v>
      </c>
      <c r="I546" s="7" t="s">
        <v>35</v>
      </c>
      <c r="J546" s="7">
        <v>0</v>
      </c>
      <c r="K546" s="7">
        <v>1</v>
      </c>
      <c r="L546" s="7">
        <v>-41.2</v>
      </c>
      <c r="M546" t="str">
        <f t="shared" si="8"/>
        <v>medium risk</v>
      </c>
    </row>
    <row r="547" spans="1:13">
      <c r="A547" s="7" t="s">
        <v>863</v>
      </c>
      <c r="B547" s="9" t="s">
        <v>864</v>
      </c>
      <c r="C547" s="7">
        <v>2024</v>
      </c>
      <c r="D547" s="7" t="s">
        <v>115</v>
      </c>
      <c r="E547" s="7" t="s">
        <v>38</v>
      </c>
      <c r="F547" s="7" t="s">
        <v>41</v>
      </c>
      <c r="G547" s="7">
        <v>513</v>
      </c>
      <c r="H547" s="7">
        <v>50</v>
      </c>
      <c r="I547" s="7" t="s">
        <v>25</v>
      </c>
      <c r="J547" s="7">
        <v>1</v>
      </c>
      <c r="K547" s="7">
        <v>0</v>
      </c>
      <c r="L547" s="7">
        <v>14.2</v>
      </c>
      <c r="M547" t="str">
        <f t="shared" si="8"/>
        <v>medium risk</v>
      </c>
    </row>
    <row r="548" spans="1:13">
      <c r="A548" s="7" t="s">
        <v>865</v>
      </c>
      <c r="B548" s="9" t="s">
        <v>866</v>
      </c>
      <c r="C548" s="7">
        <v>2024</v>
      </c>
      <c r="D548" s="7" t="s">
        <v>58</v>
      </c>
      <c r="E548" s="7" t="s">
        <v>54</v>
      </c>
      <c r="F548" s="7" t="s">
        <v>41</v>
      </c>
      <c r="G548" s="7">
        <v>434</v>
      </c>
      <c r="H548" s="7">
        <v>29</v>
      </c>
      <c r="I548" s="7" t="s">
        <v>25</v>
      </c>
      <c r="J548" s="7">
        <v>1</v>
      </c>
      <c r="K548" s="7">
        <v>0</v>
      </c>
      <c r="L548" s="7">
        <v>9.1999999999999993</v>
      </c>
      <c r="M548" t="str">
        <f t="shared" si="8"/>
        <v>low risk</v>
      </c>
    </row>
    <row r="549" spans="1:13">
      <c r="A549" s="7" t="s">
        <v>867</v>
      </c>
      <c r="B549" s="9">
        <v>45333</v>
      </c>
      <c r="C549" s="7">
        <v>2024</v>
      </c>
      <c r="D549" s="7" t="s">
        <v>68</v>
      </c>
      <c r="E549" s="7" t="s">
        <v>34</v>
      </c>
      <c r="F549" s="7" t="s">
        <v>41</v>
      </c>
      <c r="G549" s="7">
        <v>850</v>
      </c>
      <c r="H549" s="7">
        <v>39</v>
      </c>
      <c r="I549" s="7" t="s">
        <v>35</v>
      </c>
      <c r="J549" s="7">
        <v>0</v>
      </c>
      <c r="K549" s="7">
        <v>1</v>
      </c>
      <c r="L549" s="7">
        <v>-8.3000000000000007</v>
      </c>
      <c r="M549" t="str">
        <f t="shared" si="8"/>
        <v>medium risk</v>
      </c>
    </row>
    <row r="550" spans="1:13">
      <c r="A550" s="7" t="s">
        <v>868</v>
      </c>
      <c r="B550" s="9">
        <v>45423</v>
      </c>
      <c r="C550" s="7">
        <v>2024</v>
      </c>
      <c r="D550" s="7" t="s">
        <v>68</v>
      </c>
      <c r="E550" s="7" t="s">
        <v>34</v>
      </c>
      <c r="F550" s="7" t="s">
        <v>41</v>
      </c>
      <c r="G550" s="7">
        <v>1170</v>
      </c>
      <c r="H550" s="7">
        <v>41</v>
      </c>
      <c r="I550" s="7" t="s">
        <v>35</v>
      </c>
      <c r="J550" s="7">
        <v>0</v>
      </c>
      <c r="K550" s="7">
        <v>1</v>
      </c>
      <c r="L550" s="7">
        <v>0.4</v>
      </c>
      <c r="M550" t="str">
        <f t="shared" si="8"/>
        <v>medium risk</v>
      </c>
    </row>
    <row r="551" spans="1:13">
      <c r="A551" s="7" t="s">
        <v>869</v>
      </c>
      <c r="B551" s="9" t="s">
        <v>870</v>
      </c>
      <c r="C551" s="7">
        <v>2024</v>
      </c>
      <c r="D551" s="7" t="s">
        <v>112</v>
      </c>
      <c r="E551" s="7" t="s">
        <v>23</v>
      </c>
      <c r="F551" s="7" t="s">
        <v>24</v>
      </c>
      <c r="G551" s="7">
        <v>361</v>
      </c>
      <c r="H551" s="7">
        <v>16</v>
      </c>
      <c r="I551" s="7" t="s">
        <v>25</v>
      </c>
      <c r="J551" s="7">
        <v>1</v>
      </c>
      <c r="K551" s="7">
        <v>0</v>
      </c>
      <c r="L551" s="7">
        <v>20.9</v>
      </c>
      <c r="M551" t="str">
        <f t="shared" si="8"/>
        <v>low risk</v>
      </c>
    </row>
    <row r="552" spans="1:13">
      <c r="A552" s="7" t="s">
        <v>871</v>
      </c>
      <c r="B552" s="9" t="s">
        <v>872</v>
      </c>
      <c r="C552" s="7">
        <v>2024</v>
      </c>
      <c r="D552" s="7" t="s">
        <v>22</v>
      </c>
      <c r="E552" s="7" t="s">
        <v>76</v>
      </c>
      <c r="F552" s="7" t="s">
        <v>24</v>
      </c>
      <c r="G552" s="7">
        <v>122</v>
      </c>
      <c r="H552" s="7">
        <v>19</v>
      </c>
      <c r="I552" s="7" t="s">
        <v>25</v>
      </c>
      <c r="J552" s="7">
        <v>1</v>
      </c>
      <c r="K552" s="7">
        <v>0</v>
      </c>
      <c r="L552" s="7">
        <v>9.1</v>
      </c>
      <c r="M552" t="str">
        <f t="shared" si="8"/>
        <v>low risk</v>
      </c>
    </row>
    <row r="553" spans="1:13">
      <c r="A553" s="7" t="s">
        <v>873</v>
      </c>
      <c r="B553" s="9" t="s">
        <v>874</v>
      </c>
      <c r="C553" s="7">
        <v>2024</v>
      </c>
      <c r="D553" s="7" t="s">
        <v>115</v>
      </c>
      <c r="E553" s="7" t="s">
        <v>76</v>
      </c>
      <c r="F553" s="7" t="s">
        <v>24</v>
      </c>
      <c r="G553" s="7">
        <v>342</v>
      </c>
      <c r="H553" s="7">
        <v>21</v>
      </c>
      <c r="I553" s="7" t="s">
        <v>25</v>
      </c>
      <c r="J553" s="7">
        <v>1</v>
      </c>
      <c r="K553" s="7">
        <v>0</v>
      </c>
      <c r="L553" s="7">
        <v>12.8</v>
      </c>
      <c r="M553" t="str">
        <f t="shared" si="8"/>
        <v>low risk</v>
      </c>
    </row>
    <row r="554" spans="1:13">
      <c r="A554" s="7" t="s">
        <v>875</v>
      </c>
      <c r="B554" s="9">
        <v>45303</v>
      </c>
      <c r="C554" s="7">
        <v>2024</v>
      </c>
      <c r="D554" s="7" t="s">
        <v>66</v>
      </c>
      <c r="E554" s="7" t="s">
        <v>76</v>
      </c>
      <c r="F554" s="7" t="s">
        <v>24</v>
      </c>
      <c r="G554" s="7">
        <v>336</v>
      </c>
      <c r="H554" s="7">
        <v>18</v>
      </c>
      <c r="I554" s="7" t="s">
        <v>25</v>
      </c>
      <c r="J554" s="7">
        <v>1</v>
      </c>
      <c r="K554" s="7">
        <v>0</v>
      </c>
      <c r="L554" s="7">
        <v>-6.1</v>
      </c>
      <c r="M554" t="str">
        <f t="shared" si="8"/>
        <v>low risk</v>
      </c>
    </row>
    <row r="555" spans="1:13">
      <c r="A555" s="7" t="s">
        <v>876</v>
      </c>
      <c r="B555" s="9" t="s">
        <v>877</v>
      </c>
      <c r="C555" s="7">
        <v>2024</v>
      </c>
      <c r="D555" s="7" t="s">
        <v>156</v>
      </c>
      <c r="E555" s="7" t="s">
        <v>23</v>
      </c>
      <c r="F555" s="7" t="s">
        <v>24</v>
      </c>
      <c r="G555" s="7">
        <v>793</v>
      </c>
      <c r="H555" s="7">
        <v>20</v>
      </c>
      <c r="I555" s="7" t="s">
        <v>35</v>
      </c>
      <c r="J555" s="7">
        <v>0</v>
      </c>
      <c r="K555" s="7">
        <v>1</v>
      </c>
      <c r="L555" s="7">
        <v>-8.6</v>
      </c>
      <c r="M555" t="str">
        <f t="shared" si="8"/>
        <v>medium risk</v>
      </c>
    </row>
    <row r="556" spans="1:13">
      <c r="A556" s="7" t="s">
        <v>878</v>
      </c>
      <c r="B556" s="9" t="s">
        <v>879</v>
      </c>
      <c r="C556" s="7">
        <v>2024</v>
      </c>
      <c r="D556" s="7" t="s">
        <v>28</v>
      </c>
      <c r="E556" s="7" t="s">
        <v>47</v>
      </c>
      <c r="F556" s="7" t="s">
        <v>24</v>
      </c>
      <c r="G556" s="7">
        <v>62</v>
      </c>
      <c r="H556" s="7">
        <v>19</v>
      </c>
      <c r="I556" s="7" t="s">
        <v>25</v>
      </c>
      <c r="J556" s="7">
        <v>1</v>
      </c>
      <c r="K556" s="7">
        <v>0</v>
      </c>
      <c r="L556" s="7">
        <v>12.7</v>
      </c>
      <c r="M556" t="str">
        <f t="shared" si="8"/>
        <v>low risk</v>
      </c>
    </row>
    <row r="557" spans="1:13">
      <c r="A557" s="7" t="s">
        <v>880</v>
      </c>
      <c r="B557" s="9">
        <v>45689</v>
      </c>
      <c r="C557" s="7">
        <v>2025</v>
      </c>
      <c r="D557" s="7" t="s">
        <v>66</v>
      </c>
      <c r="E557" s="7" t="s">
        <v>34</v>
      </c>
      <c r="F557" s="7" t="s">
        <v>24</v>
      </c>
      <c r="G557" s="7">
        <v>254</v>
      </c>
      <c r="H557" s="7">
        <v>21</v>
      </c>
      <c r="I557" s="7" t="s">
        <v>25</v>
      </c>
      <c r="J557" s="7">
        <v>1</v>
      </c>
      <c r="K557" s="7">
        <v>0</v>
      </c>
      <c r="L557" s="7">
        <v>4.9000000000000004</v>
      </c>
      <c r="M557" t="str">
        <f t="shared" si="8"/>
        <v>low risk</v>
      </c>
    </row>
    <row r="558" spans="1:13">
      <c r="A558" s="7" t="s">
        <v>881</v>
      </c>
      <c r="B558" s="9">
        <v>45778</v>
      </c>
      <c r="C558" s="7">
        <v>2025</v>
      </c>
      <c r="D558" s="7" t="s">
        <v>115</v>
      </c>
      <c r="E558" s="7" t="s">
        <v>34</v>
      </c>
      <c r="F558" s="7" t="s">
        <v>41</v>
      </c>
      <c r="G558" s="7">
        <v>952</v>
      </c>
      <c r="H558" s="7">
        <v>34</v>
      </c>
      <c r="I558" s="7" t="s">
        <v>35</v>
      </c>
      <c r="J558" s="7">
        <v>0</v>
      </c>
      <c r="K558" s="7">
        <v>1</v>
      </c>
      <c r="L558" s="7">
        <v>-9.4</v>
      </c>
      <c r="M558" t="str">
        <f t="shared" si="8"/>
        <v>medium risk</v>
      </c>
    </row>
    <row r="559" spans="1:13">
      <c r="A559" s="7" t="s">
        <v>882</v>
      </c>
      <c r="B559" s="9">
        <v>45931</v>
      </c>
      <c r="C559" s="7">
        <v>2025</v>
      </c>
      <c r="D559" s="7" t="s">
        <v>33</v>
      </c>
      <c r="E559" s="7" t="s">
        <v>34</v>
      </c>
      <c r="F559" s="7" t="s">
        <v>41</v>
      </c>
      <c r="G559" s="7">
        <v>380</v>
      </c>
      <c r="H559" s="7">
        <v>36</v>
      </c>
      <c r="I559" s="7" t="s">
        <v>25</v>
      </c>
      <c r="J559" s="7">
        <v>1</v>
      </c>
      <c r="K559" s="7">
        <v>0</v>
      </c>
      <c r="L559" s="7">
        <v>4.0999999999999996</v>
      </c>
      <c r="M559" t="str">
        <f t="shared" si="8"/>
        <v>low risk</v>
      </c>
    </row>
    <row r="560" spans="1:13">
      <c r="A560" s="7" t="s">
        <v>883</v>
      </c>
      <c r="B560" s="9" t="s">
        <v>884</v>
      </c>
      <c r="C560" s="7">
        <v>2025</v>
      </c>
      <c r="D560" s="7" t="s">
        <v>96</v>
      </c>
      <c r="E560" s="7" t="s">
        <v>83</v>
      </c>
      <c r="F560" s="7" t="s">
        <v>24</v>
      </c>
      <c r="G560" s="7">
        <v>152</v>
      </c>
      <c r="H560" s="7">
        <v>21</v>
      </c>
      <c r="I560" s="7" t="s">
        <v>25</v>
      </c>
      <c r="J560" s="7">
        <v>1</v>
      </c>
      <c r="K560" s="7">
        <v>0</v>
      </c>
      <c r="L560" s="7">
        <v>18</v>
      </c>
      <c r="M560" t="str">
        <f t="shared" si="8"/>
        <v>low risk</v>
      </c>
    </row>
    <row r="561" spans="1:13">
      <c r="A561" s="7" t="s">
        <v>885</v>
      </c>
      <c r="B561" s="9" t="s">
        <v>886</v>
      </c>
      <c r="C561" s="7">
        <v>2025</v>
      </c>
      <c r="D561" s="7" t="s">
        <v>33</v>
      </c>
      <c r="E561" s="7" t="s">
        <v>29</v>
      </c>
      <c r="F561" s="7" t="s">
        <v>24</v>
      </c>
      <c r="G561" s="7">
        <v>117</v>
      </c>
      <c r="H561" s="7">
        <v>16</v>
      </c>
      <c r="I561" s="7" t="s">
        <v>30</v>
      </c>
      <c r="J561" s="7">
        <v>0</v>
      </c>
      <c r="K561" s="7">
        <v>0</v>
      </c>
      <c r="L561" s="7">
        <v>0.6</v>
      </c>
      <c r="M561" t="str">
        <f t="shared" si="8"/>
        <v>low risk</v>
      </c>
    </row>
    <row r="562" spans="1:13">
      <c r="A562" s="7" t="s">
        <v>887</v>
      </c>
      <c r="B562" s="9">
        <v>45779</v>
      </c>
      <c r="C562" s="7">
        <v>2025</v>
      </c>
      <c r="D562" s="7" t="s">
        <v>22</v>
      </c>
      <c r="E562" s="7" t="s">
        <v>78</v>
      </c>
      <c r="F562" s="7" t="s">
        <v>24</v>
      </c>
      <c r="G562" s="7">
        <v>404</v>
      </c>
      <c r="H562" s="7">
        <v>21</v>
      </c>
      <c r="I562" s="7" t="s">
        <v>35</v>
      </c>
      <c r="J562" s="7">
        <v>0</v>
      </c>
      <c r="K562" s="7">
        <v>1</v>
      </c>
      <c r="L562" s="7">
        <v>-13</v>
      </c>
      <c r="M562" t="str">
        <f t="shared" si="8"/>
        <v>low risk</v>
      </c>
    </row>
    <row r="563" spans="1:13">
      <c r="A563" s="7" t="s">
        <v>888</v>
      </c>
      <c r="B563" s="9">
        <v>45871</v>
      </c>
      <c r="C563" s="7">
        <v>2025</v>
      </c>
      <c r="D563" s="7" t="s">
        <v>51</v>
      </c>
      <c r="E563" s="7" t="s">
        <v>47</v>
      </c>
      <c r="F563" s="7" t="s">
        <v>41</v>
      </c>
      <c r="G563" s="7">
        <v>640</v>
      </c>
      <c r="H563" s="7">
        <v>45</v>
      </c>
      <c r="I563" s="7" t="s">
        <v>25</v>
      </c>
      <c r="J563" s="7">
        <v>1</v>
      </c>
      <c r="K563" s="7">
        <v>0</v>
      </c>
      <c r="L563" s="7">
        <v>-2.2999999999999998</v>
      </c>
      <c r="M563" t="str">
        <f t="shared" si="8"/>
        <v>medium risk</v>
      </c>
    </row>
    <row r="564" spans="1:13">
      <c r="A564" s="7" t="s">
        <v>889</v>
      </c>
      <c r="B564" s="9">
        <v>45963</v>
      </c>
      <c r="C564" s="7">
        <v>2025</v>
      </c>
      <c r="D564" s="7" t="s">
        <v>115</v>
      </c>
      <c r="E564" s="7" t="s">
        <v>23</v>
      </c>
      <c r="F564" s="7" t="s">
        <v>41</v>
      </c>
      <c r="G564" s="7">
        <v>1499</v>
      </c>
      <c r="H564" s="7">
        <v>34</v>
      </c>
      <c r="I564" s="7" t="s">
        <v>30</v>
      </c>
      <c r="J564" s="7">
        <v>0</v>
      </c>
      <c r="K564" s="7">
        <v>0</v>
      </c>
      <c r="L564" s="7">
        <v>-4.9000000000000004</v>
      </c>
      <c r="M564" t="str">
        <f t="shared" si="8"/>
        <v>medium risk</v>
      </c>
    </row>
    <row r="565" spans="1:13">
      <c r="A565" s="7" t="s">
        <v>890</v>
      </c>
      <c r="B565" s="9" t="s">
        <v>891</v>
      </c>
      <c r="C565" s="7">
        <v>2025</v>
      </c>
      <c r="D565" s="7" t="s">
        <v>58</v>
      </c>
      <c r="E565" s="7" t="s">
        <v>47</v>
      </c>
      <c r="F565" s="7" t="s">
        <v>41</v>
      </c>
      <c r="G565" s="7">
        <v>495</v>
      </c>
      <c r="H565" s="7">
        <v>37</v>
      </c>
      <c r="I565" s="7" t="s">
        <v>25</v>
      </c>
      <c r="J565" s="7">
        <v>1</v>
      </c>
      <c r="K565" s="7">
        <v>0</v>
      </c>
      <c r="L565" s="7">
        <v>5.3</v>
      </c>
      <c r="M565" t="str">
        <f t="shared" si="8"/>
        <v>low risk</v>
      </c>
    </row>
    <row r="566" spans="1:13">
      <c r="A566" s="7" t="s">
        <v>892</v>
      </c>
      <c r="B566" s="9">
        <v>45903</v>
      </c>
      <c r="C566" s="7">
        <v>2025</v>
      </c>
      <c r="D566" s="7" t="s">
        <v>75</v>
      </c>
      <c r="E566" s="7" t="s">
        <v>83</v>
      </c>
      <c r="F566" s="7" t="s">
        <v>24</v>
      </c>
      <c r="G566" s="7">
        <v>186</v>
      </c>
      <c r="H566" s="7">
        <v>16</v>
      </c>
      <c r="I566" s="7" t="s">
        <v>35</v>
      </c>
      <c r="J566" s="7">
        <v>0</v>
      </c>
      <c r="K566" s="7">
        <v>1</v>
      </c>
      <c r="L566" s="7">
        <v>-2.5</v>
      </c>
      <c r="M566" t="str">
        <f t="shared" si="8"/>
        <v>low risk</v>
      </c>
    </row>
    <row r="567" spans="1:13">
      <c r="A567" s="7" t="s">
        <v>893</v>
      </c>
      <c r="B567" s="9">
        <v>45812</v>
      </c>
      <c r="C567" s="7">
        <v>2025</v>
      </c>
      <c r="D567" s="7" t="s">
        <v>46</v>
      </c>
      <c r="E567" s="7" t="s">
        <v>38</v>
      </c>
      <c r="F567" s="7" t="s">
        <v>41</v>
      </c>
      <c r="G567" s="7">
        <v>2298</v>
      </c>
      <c r="H567" s="7">
        <v>28</v>
      </c>
      <c r="I567" s="7" t="s">
        <v>25</v>
      </c>
      <c r="J567" s="7">
        <v>1</v>
      </c>
      <c r="K567" s="7">
        <v>0</v>
      </c>
      <c r="L567" s="7">
        <v>7.7</v>
      </c>
      <c r="M567" t="str">
        <f t="shared" si="8"/>
        <v>high risk</v>
      </c>
    </row>
    <row r="568" spans="1:13">
      <c r="A568" s="7" t="s">
        <v>894</v>
      </c>
      <c r="B568" s="9">
        <v>45662</v>
      </c>
      <c r="C568" s="7">
        <v>2025</v>
      </c>
      <c r="D568" s="7" t="s">
        <v>33</v>
      </c>
      <c r="E568" s="7" t="s">
        <v>34</v>
      </c>
      <c r="F568" s="7" t="s">
        <v>24</v>
      </c>
      <c r="G568" s="7">
        <v>322</v>
      </c>
      <c r="H568" s="7">
        <v>30</v>
      </c>
      <c r="I568" s="7" t="s">
        <v>25</v>
      </c>
      <c r="J568" s="7">
        <v>1</v>
      </c>
      <c r="K568" s="7">
        <v>0</v>
      </c>
      <c r="L568" s="7">
        <v>11</v>
      </c>
      <c r="M568" t="str">
        <f t="shared" si="8"/>
        <v>low risk</v>
      </c>
    </row>
    <row r="569" spans="1:13">
      <c r="A569" s="7" t="s">
        <v>895</v>
      </c>
      <c r="B569" s="9">
        <v>45996</v>
      </c>
      <c r="C569" s="7">
        <v>2025</v>
      </c>
      <c r="D569" s="7" t="s">
        <v>112</v>
      </c>
      <c r="E569" s="7" t="s">
        <v>29</v>
      </c>
      <c r="F569" s="7" t="s">
        <v>24</v>
      </c>
      <c r="G569" s="7">
        <v>260</v>
      </c>
      <c r="H569" s="7">
        <v>8</v>
      </c>
      <c r="I569" s="7" t="s">
        <v>25</v>
      </c>
      <c r="J569" s="7">
        <v>1</v>
      </c>
      <c r="K569" s="7">
        <v>0</v>
      </c>
      <c r="L569" s="7">
        <v>8</v>
      </c>
      <c r="M569" t="str">
        <f t="shared" si="8"/>
        <v>low risk</v>
      </c>
    </row>
    <row r="570" spans="1:13">
      <c r="A570" s="7" t="s">
        <v>896</v>
      </c>
      <c r="B570" s="9">
        <v>45996</v>
      </c>
      <c r="C570" s="7">
        <v>2025</v>
      </c>
      <c r="D570" s="7" t="s">
        <v>28</v>
      </c>
      <c r="E570" s="7" t="s">
        <v>63</v>
      </c>
      <c r="F570" s="7" t="s">
        <v>41</v>
      </c>
      <c r="G570" s="7">
        <v>363</v>
      </c>
      <c r="H570" s="7">
        <v>31</v>
      </c>
      <c r="I570" s="7" t="s">
        <v>35</v>
      </c>
      <c r="J570" s="7">
        <v>0</v>
      </c>
      <c r="K570" s="7">
        <v>1</v>
      </c>
      <c r="L570" s="7">
        <v>-4.5</v>
      </c>
      <c r="M570" t="str">
        <f t="shared" si="8"/>
        <v>low risk</v>
      </c>
    </row>
    <row r="571" spans="1:13">
      <c r="A571" s="7" t="s">
        <v>897</v>
      </c>
      <c r="B571" s="9" t="s">
        <v>898</v>
      </c>
      <c r="C571" s="7">
        <v>2025</v>
      </c>
      <c r="D571" s="7" t="s">
        <v>174</v>
      </c>
      <c r="E571" s="7" t="s">
        <v>76</v>
      </c>
      <c r="F571" s="7" t="s">
        <v>41</v>
      </c>
      <c r="G571" s="7">
        <v>3689</v>
      </c>
      <c r="H571" s="7">
        <v>39</v>
      </c>
      <c r="I571" s="7" t="s">
        <v>35</v>
      </c>
      <c r="J571" s="7">
        <v>0</v>
      </c>
      <c r="K571" s="7">
        <v>1</v>
      </c>
      <c r="L571" s="7">
        <v>2.4</v>
      </c>
      <c r="M571" t="str">
        <f t="shared" si="8"/>
        <v>high risk</v>
      </c>
    </row>
    <row r="572" spans="1:13">
      <c r="A572" s="7" t="s">
        <v>899</v>
      </c>
      <c r="B572" s="9" t="s">
        <v>900</v>
      </c>
      <c r="C572" s="7">
        <v>2025</v>
      </c>
      <c r="D572" s="7" t="s">
        <v>28</v>
      </c>
      <c r="E572" s="7" t="s">
        <v>78</v>
      </c>
      <c r="F572" s="7" t="s">
        <v>41</v>
      </c>
      <c r="G572" s="7">
        <v>1886</v>
      </c>
      <c r="H572" s="7">
        <v>29</v>
      </c>
      <c r="I572" s="7" t="s">
        <v>35</v>
      </c>
      <c r="J572" s="7">
        <v>0</v>
      </c>
      <c r="K572" s="7">
        <v>1</v>
      </c>
      <c r="L572" s="7">
        <v>-13.1</v>
      </c>
      <c r="M572" t="str">
        <f t="shared" si="8"/>
        <v>medium risk</v>
      </c>
    </row>
    <row r="573" spans="1:13">
      <c r="A573" s="7" t="s">
        <v>901</v>
      </c>
      <c r="B573" s="9" t="s">
        <v>902</v>
      </c>
      <c r="C573" s="7">
        <v>2025</v>
      </c>
      <c r="D573" s="7" t="s">
        <v>58</v>
      </c>
      <c r="E573" s="7" t="s">
        <v>23</v>
      </c>
      <c r="F573" s="7" t="s">
        <v>41</v>
      </c>
      <c r="G573" s="7">
        <v>1421</v>
      </c>
      <c r="H573" s="7">
        <v>30</v>
      </c>
      <c r="I573" s="7" t="s">
        <v>25</v>
      </c>
      <c r="J573" s="7">
        <v>1</v>
      </c>
      <c r="K573" s="7">
        <v>0</v>
      </c>
      <c r="L573" s="7">
        <v>10.199999999999999</v>
      </c>
      <c r="M573" t="str">
        <f t="shared" si="8"/>
        <v>medium risk</v>
      </c>
    </row>
    <row r="574" spans="1:13">
      <c r="A574" s="7" t="s">
        <v>903</v>
      </c>
      <c r="B574" s="9" t="s">
        <v>904</v>
      </c>
      <c r="C574" s="7">
        <v>2025</v>
      </c>
      <c r="D574" s="7" t="s">
        <v>22</v>
      </c>
      <c r="E574" s="7" t="s">
        <v>34</v>
      </c>
      <c r="F574" s="7" t="s">
        <v>41</v>
      </c>
      <c r="G574" s="7">
        <v>940</v>
      </c>
      <c r="H574" s="7">
        <v>33</v>
      </c>
      <c r="I574" s="7" t="s">
        <v>35</v>
      </c>
      <c r="J574" s="7">
        <v>0</v>
      </c>
      <c r="K574" s="7">
        <v>1</v>
      </c>
      <c r="L574" s="7">
        <v>-9.8000000000000007</v>
      </c>
      <c r="M574" t="str">
        <f t="shared" si="8"/>
        <v>medium risk</v>
      </c>
    </row>
    <row r="575" spans="1:13">
      <c r="A575" s="7" t="s">
        <v>905</v>
      </c>
      <c r="B575" s="9" t="s">
        <v>906</v>
      </c>
      <c r="C575" s="7">
        <v>2025</v>
      </c>
      <c r="D575" s="7" t="s">
        <v>75</v>
      </c>
      <c r="E575" s="7" t="s">
        <v>38</v>
      </c>
      <c r="F575" s="7" t="s">
        <v>24</v>
      </c>
      <c r="G575" s="7">
        <v>255</v>
      </c>
      <c r="H575" s="7">
        <v>24</v>
      </c>
      <c r="I575" s="7" t="s">
        <v>25</v>
      </c>
      <c r="J575" s="7">
        <v>1</v>
      </c>
      <c r="K575" s="7">
        <v>0</v>
      </c>
      <c r="L575" s="7">
        <v>7.7</v>
      </c>
      <c r="M575" t="str">
        <f t="shared" si="8"/>
        <v>low risk</v>
      </c>
    </row>
    <row r="576" spans="1:13">
      <c r="A576" s="7" t="s">
        <v>907</v>
      </c>
      <c r="B576" s="9">
        <v>45876</v>
      </c>
      <c r="C576" s="7">
        <v>2025</v>
      </c>
      <c r="D576" s="7" t="s">
        <v>66</v>
      </c>
      <c r="E576" s="7" t="s">
        <v>38</v>
      </c>
      <c r="F576" s="7" t="s">
        <v>41</v>
      </c>
      <c r="G576" s="7">
        <v>2499</v>
      </c>
      <c r="H576" s="7">
        <v>38</v>
      </c>
      <c r="I576" s="7" t="s">
        <v>30</v>
      </c>
      <c r="J576" s="7">
        <v>0</v>
      </c>
      <c r="K576" s="7">
        <v>0</v>
      </c>
      <c r="L576" s="7">
        <v>-0.1</v>
      </c>
      <c r="M576" t="str">
        <f t="shared" si="8"/>
        <v>high risk</v>
      </c>
    </row>
    <row r="577" spans="1:13">
      <c r="A577" s="7" t="s">
        <v>908</v>
      </c>
      <c r="B577" s="9" t="s">
        <v>909</v>
      </c>
      <c r="C577" s="7">
        <v>2025</v>
      </c>
      <c r="D577" s="7" t="s">
        <v>51</v>
      </c>
      <c r="E577" s="7" t="s">
        <v>38</v>
      </c>
      <c r="F577" s="7" t="s">
        <v>41</v>
      </c>
      <c r="G577" s="7">
        <v>1003</v>
      </c>
      <c r="H577" s="7">
        <v>31</v>
      </c>
      <c r="I577" s="7" t="s">
        <v>25</v>
      </c>
      <c r="J577" s="7">
        <v>1</v>
      </c>
      <c r="K577" s="7">
        <v>0</v>
      </c>
      <c r="L577" s="7">
        <v>-2.7</v>
      </c>
      <c r="M577" t="str">
        <f t="shared" si="8"/>
        <v>medium risk</v>
      </c>
    </row>
    <row r="578" spans="1:13">
      <c r="A578" s="7" t="s">
        <v>910</v>
      </c>
      <c r="B578" s="9" t="s">
        <v>911</v>
      </c>
      <c r="C578" s="7">
        <v>2025</v>
      </c>
      <c r="D578" s="7" t="s">
        <v>40</v>
      </c>
      <c r="E578" s="7" t="s">
        <v>34</v>
      </c>
      <c r="F578" s="7" t="s">
        <v>24</v>
      </c>
      <c r="G578" s="7">
        <v>316</v>
      </c>
      <c r="H578" s="7">
        <v>21</v>
      </c>
      <c r="I578" s="7" t="s">
        <v>35</v>
      </c>
      <c r="J578" s="7">
        <v>0</v>
      </c>
      <c r="K578" s="7">
        <v>1</v>
      </c>
      <c r="L578" s="7">
        <v>-14.2</v>
      </c>
      <c r="M578" t="str">
        <f t="shared" si="8"/>
        <v>low risk</v>
      </c>
    </row>
    <row r="579" spans="1:13">
      <c r="A579" s="7" t="s">
        <v>912</v>
      </c>
      <c r="B579" s="9" t="s">
        <v>913</v>
      </c>
      <c r="C579" s="7">
        <v>2025</v>
      </c>
      <c r="D579" s="7" t="s">
        <v>33</v>
      </c>
      <c r="E579" s="7" t="s">
        <v>76</v>
      </c>
      <c r="F579" s="7" t="s">
        <v>24</v>
      </c>
      <c r="G579" s="7">
        <v>364</v>
      </c>
      <c r="H579" s="7">
        <v>24</v>
      </c>
      <c r="I579" s="7" t="s">
        <v>25</v>
      </c>
      <c r="J579" s="7">
        <v>1</v>
      </c>
      <c r="K579" s="7">
        <v>0</v>
      </c>
      <c r="L579" s="7">
        <v>13.2</v>
      </c>
      <c r="M579" t="str">
        <f t="shared" ref="M579:M600" si="9">IF(G579&gt;2000,"high risk",IF(G579&gt;500,"medium risk","low risk"))</f>
        <v>low risk</v>
      </c>
    </row>
    <row r="580" spans="1:13">
      <c r="A580" s="7" t="s">
        <v>914</v>
      </c>
      <c r="B580" s="9" t="s">
        <v>915</v>
      </c>
      <c r="C580" s="7">
        <v>2025</v>
      </c>
      <c r="D580" s="7" t="s">
        <v>58</v>
      </c>
      <c r="E580" s="7" t="s">
        <v>34</v>
      </c>
      <c r="F580" s="7" t="s">
        <v>41</v>
      </c>
      <c r="G580" s="7">
        <v>683</v>
      </c>
      <c r="H580" s="7">
        <v>37</v>
      </c>
      <c r="I580" s="7" t="s">
        <v>35</v>
      </c>
      <c r="J580" s="7">
        <v>0</v>
      </c>
      <c r="K580" s="7">
        <v>1</v>
      </c>
      <c r="L580" s="7">
        <v>-27</v>
      </c>
      <c r="M580" t="str">
        <f t="shared" si="9"/>
        <v>medium risk</v>
      </c>
    </row>
    <row r="581" spans="1:13">
      <c r="A581" s="7" t="s">
        <v>916</v>
      </c>
      <c r="B581" s="9" t="s">
        <v>915</v>
      </c>
      <c r="C581" s="7">
        <v>2025</v>
      </c>
      <c r="D581" s="7" t="s">
        <v>33</v>
      </c>
      <c r="E581" s="7" t="s">
        <v>34</v>
      </c>
      <c r="F581" s="7" t="s">
        <v>41</v>
      </c>
      <c r="G581" s="7">
        <v>973</v>
      </c>
      <c r="H581" s="7">
        <v>39</v>
      </c>
      <c r="I581" s="7" t="s">
        <v>25</v>
      </c>
      <c r="J581" s="7">
        <v>1</v>
      </c>
      <c r="K581" s="7">
        <v>0</v>
      </c>
      <c r="L581" s="7">
        <v>7.6</v>
      </c>
      <c r="M581" t="str">
        <f t="shared" si="9"/>
        <v>medium risk</v>
      </c>
    </row>
    <row r="582" spans="1:13">
      <c r="A582" s="7" t="s">
        <v>917</v>
      </c>
      <c r="B582" s="9">
        <v>45697</v>
      </c>
      <c r="C582" s="7">
        <v>2025</v>
      </c>
      <c r="D582" s="7" t="s">
        <v>22</v>
      </c>
      <c r="E582" s="7" t="s">
        <v>76</v>
      </c>
      <c r="F582" s="7" t="s">
        <v>41</v>
      </c>
      <c r="G582" s="7">
        <v>890</v>
      </c>
      <c r="H582" s="7">
        <v>26</v>
      </c>
      <c r="I582" s="7" t="s">
        <v>35</v>
      </c>
      <c r="J582" s="7">
        <v>0</v>
      </c>
      <c r="K582" s="7">
        <v>1</v>
      </c>
      <c r="L582" s="7">
        <v>-10</v>
      </c>
      <c r="M582" t="str">
        <f t="shared" si="9"/>
        <v>medium risk</v>
      </c>
    </row>
    <row r="583" spans="1:13">
      <c r="A583" s="7" t="s">
        <v>918</v>
      </c>
      <c r="B583" s="9">
        <v>45939</v>
      </c>
      <c r="C583" s="7">
        <v>2025</v>
      </c>
      <c r="D583" s="7" t="s">
        <v>68</v>
      </c>
      <c r="E583" s="7" t="s">
        <v>63</v>
      </c>
      <c r="F583" s="7" t="s">
        <v>24</v>
      </c>
      <c r="G583" s="7">
        <v>230</v>
      </c>
      <c r="H583" s="7">
        <v>16</v>
      </c>
      <c r="I583" s="7" t="s">
        <v>25</v>
      </c>
      <c r="J583" s="7">
        <v>1</v>
      </c>
      <c r="K583" s="7">
        <v>0</v>
      </c>
      <c r="L583" s="7">
        <v>-1.1000000000000001</v>
      </c>
      <c r="M583" t="str">
        <f t="shared" si="9"/>
        <v>low risk</v>
      </c>
    </row>
    <row r="584" spans="1:13">
      <c r="A584" s="7" t="s">
        <v>919</v>
      </c>
      <c r="B584" s="9" t="s">
        <v>920</v>
      </c>
      <c r="C584" s="7">
        <v>2025</v>
      </c>
      <c r="D584" s="7" t="s">
        <v>22</v>
      </c>
      <c r="E584" s="7" t="s">
        <v>76</v>
      </c>
      <c r="F584" s="7" t="s">
        <v>24</v>
      </c>
      <c r="G584" s="7">
        <v>213</v>
      </c>
      <c r="H584" s="7">
        <v>11</v>
      </c>
      <c r="I584" s="7" t="s">
        <v>30</v>
      </c>
      <c r="J584" s="7">
        <v>0</v>
      </c>
      <c r="K584" s="7">
        <v>0</v>
      </c>
      <c r="L584" s="7">
        <v>-3</v>
      </c>
      <c r="M584" t="str">
        <f t="shared" si="9"/>
        <v>low risk</v>
      </c>
    </row>
    <row r="585" spans="1:13">
      <c r="A585" s="7" t="s">
        <v>921</v>
      </c>
      <c r="B585" s="9" t="s">
        <v>922</v>
      </c>
      <c r="C585" s="7">
        <v>2025</v>
      </c>
      <c r="D585" s="7" t="s">
        <v>112</v>
      </c>
      <c r="E585" s="7" t="s">
        <v>83</v>
      </c>
      <c r="F585" s="7" t="s">
        <v>41</v>
      </c>
      <c r="G585" s="7">
        <v>2325</v>
      </c>
      <c r="H585" s="7">
        <v>45</v>
      </c>
      <c r="I585" s="7" t="s">
        <v>25</v>
      </c>
      <c r="J585" s="7">
        <v>1</v>
      </c>
      <c r="K585" s="7">
        <v>0</v>
      </c>
      <c r="L585" s="7">
        <v>8.5</v>
      </c>
      <c r="M585" t="str">
        <f t="shared" si="9"/>
        <v>high risk</v>
      </c>
    </row>
    <row r="586" spans="1:13">
      <c r="A586" s="7" t="s">
        <v>923</v>
      </c>
      <c r="B586" s="9" t="s">
        <v>924</v>
      </c>
      <c r="C586" s="7">
        <v>2025</v>
      </c>
      <c r="D586" s="7" t="s">
        <v>28</v>
      </c>
      <c r="E586" s="7" t="s">
        <v>76</v>
      </c>
      <c r="F586" s="7" t="s">
        <v>24</v>
      </c>
      <c r="G586" s="7">
        <v>146</v>
      </c>
      <c r="H586" s="7">
        <v>17</v>
      </c>
      <c r="I586" s="7" t="s">
        <v>30</v>
      </c>
      <c r="J586" s="7">
        <v>0</v>
      </c>
      <c r="K586" s="7">
        <v>0</v>
      </c>
      <c r="L586" s="7">
        <v>-3.8</v>
      </c>
      <c r="M586" t="str">
        <f t="shared" si="9"/>
        <v>low risk</v>
      </c>
    </row>
    <row r="587" spans="1:13">
      <c r="A587" s="7" t="s">
        <v>925</v>
      </c>
      <c r="B587" s="9">
        <v>45667</v>
      </c>
      <c r="C587" s="7">
        <v>2025</v>
      </c>
      <c r="D587" s="7" t="s">
        <v>28</v>
      </c>
      <c r="E587" s="7" t="s">
        <v>47</v>
      </c>
      <c r="F587" s="7" t="s">
        <v>24</v>
      </c>
      <c r="G587" s="7">
        <v>150</v>
      </c>
      <c r="H587" s="7">
        <v>18</v>
      </c>
      <c r="I587" s="7" t="s">
        <v>25</v>
      </c>
      <c r="J587" s="7">
        <v>1</v>
      </c>
      <c r="K587" s="7">
        <v>0</v>
      </c>
      <c r="L587" s="7">
        <v>14.1</v>
      </c>
      <c r="M587" t="str">
        <f t="shared" si="9"/>
        <v>low risk</v>
      </c>
    </row>
    <row r="588" spans="1:13">
      <c r="A588" s="7" t="s">
        <v>926</v>
      </c>
      <c r="B588" s="9" t="s">
        <v>927</v>
      </c>
      <c r="C588" s="7">
        <v>2025</v>
      </c>
      <c r="D588" s="7" t="s">
        <v>144</v>
      </c>
      <c r="E588" s="7" t="s">
        <v>47</v>
      </c>
      <c r="F588" s="7" t="s">
        <v>24</v>
      </c>
      <c r="G588" s="7">
        <v>132</v>
      </c>
      <c r="H588" s="7">
        <v>16</v>
      </c>
      <c r="I588" s="7" t="s">
        <v>25</v>
      </c>
      <c r="J588" s="7">
        <v>1</v>
      </c>
      <c r="K588" s="7">
        <v>0</v>
      </c>
      <c r="L588" s="7">
        <v>12.6</v>
      </c>
      <c r="M588" t="str">
        <f t="shared" si="9"/>
        <v>low risk</v>
      </c>
    </row>
    <row r="589" spans="1:13">
      <c r="A589" s="7" t="s">
        <v>928</v>
      </c>
      <c r="B589" s="9" t="s">
        <v>929</v>
      </c>
      <c r="C589" s="7">
        <v>2025</v>
      </c>
      <c r="D589" s="7" t="s">
        <v>75</v>
      </c>
      <c r="E589" s="7" t="s">
        <v>23</v>
      </c>
      <c r="F589" s="7" t="s">
        <v>41</v>
      </c>
      <c r="G589" s="7">
        <v>977</v>
      </c>
      <c r="H589" s="7">
        <v>33</v>
      </c>
      <c r="I589" s="7" t="s">
        <v>35</v>
      </c>
      <c r="J589" s="7">
        <v>0</v>
      </c>
      <c r="K589" s="7">
        <v>1</v>
      </c>
      <c r="L589" s="7">
        <v>-19.5</v>
      </c>
      <c r="M589" t="str">
        <f t="shared" si="9"/>
        <v>medium risk</v>
      </c>
    </row>
    <row r="590" spans="1:13">
      <c r="A590" s="7" t="s">
        <v>930</v>
      </c>
      <c r="B590" s="9" t="s">
        <v>931</v>
      </c>
      <c r="C590" s="7">
        <v>2025</v>
      </c>
      <c r="D590" s="7" t="s">
        <v>194</v>
      </c>
      <c r="E590" s="7" t="s">
        <v>78</v>
      </c>
      <c r="F590" s="7" t="s">
        <v>41</v>
      </c>
      <c r="G590" s="7">
        <v>1758</v>
      </c>
      <c r="H590" s="7">
        <v>34</v>
      </c>
      <c r="I590" s="7" t="s">
        <v>25</v>
      </c>
      <c r="J590" s="7">
        <v>1</v>
      </c>
      <c r="K590" s="7">
        <v>0</v>
      </c>
      <c r="L590" s="7">
        <v>7.8</v>
      </c>
      <c r="M590" t="str">
        <f t="shared" si="9"/>
        <v>medium risk</v>
      </c>
    </row>
    <row r="591" spans="1:13">
      <c r="A591" s="7" t="s">
        <v>932</v>
      </c>
      <c r="B591" s="9" t="s">
        <v>931</v>
      </c>
      <c r="C591" s="7">
        <v>2025</v>
      </c>
      <c r="D591" s="7" t="s">
        <v>107</v>
      </c>
      <c r="E591" s="7" t="s">
        <v>23</v>
      </c>
      <c r="F591" s="7" t="s">
        <v>41</v>
      </c>
      <c r="G591" s="7">
        <v>732</v>
      </c>
      <c r="H591" s="7">
        <v>26</v>
      </c>
      <c r="I591" s="7" t="s">
        <v>25</v>
      </c>
      <c r="J591" s="7">
        <v>1</v>
      </c>
      <c r="K591" s="7">
        <v>0</v>
      </c>
      <c r="L591" s="7">
        <v>-0.2</v>
      </c>
      <c r="M591" t="str">
        <f t="shared" si="9"/>
        <v>medium risk</v>
      </c>
    </row>
    <row r="592" spans="1:13">
      <c r="A592" s="7" t="s">
        <v>933</v>
      </c>
      <c r="B592" s="9">
        <v>46002</v>
      </c>
      <c r="C592" s="7">
        <v>2025</v>
      </c>
      <c r="D592" s="7" t="s">
        <v>194</v>
      </c>
      <c r="E592" s="7" t="s">
        <v>34</v>
      </c>
      <c r="F592" s="7" t="s">
        <v>24</v>
      </c>
      <c r="G592" s="7">
        <v>112</v>
      </c>
      <c r="H592" s="7">
        <v>14</v>
      </c>
      <c r="I592" s="7" t="s">
        <v>35</v>
      </c>
      <c r="J592" s="7">
        <v>0</v>
      </c>
      <c r="K592" s="7">
        <v>1</v>
      </c>
      <c r="L592" s="7">
        <v>-10.3</v>
      </c>
      <c r="M592" t="str">
        <f t="shared" si="9"/>
        <v>low risk</v>
      </c>
    </row>
    <row r="593" spans="1:13">
      <c r="A593" s="7" t="s">
        <v>934</v>
      </c>
      <c r="B593" s="9" t="s">
        <v>935</v>
      </c>
      <c r="C593" s="7">
        <v>2025</v>
      </c>
      <c r="D593" s="7" t="s">
        <v>112</v>
      </c>
      <c r="E593" s="7" t="s">
        <v>76</v>
      </c>
      <c r="F593" s="7" t="s">
        <v>41</v>
      </c>
      <c r="G593" s="7">
        <v>355</v>
      </c>
      <c r="H593" s="7">
        <v>38</v>
      </c>
      <c r="I593" s="7" t="s">
        <v>35</v>
      </c>
      <c r="J593" s="7">
        <v>0</v>
      </c>
      <c r="K593" s="7">
        <v>1</v>
      </c>
      <c r="L593" s="7">
        <v>-11.1</v>
      </c>
      <c r="M593" t="str">
        <f t="shared" si="9"/>
        <v>low risk</v>
      </c>
    </row>
    <row r="594" spans="1:13">
      <c r="A594" s="7" t="s">
        <v>936</v>
      </c>
      <c r="B594" s="9" t="s">
        <v>937</v>
      </c>
      <c r="C594" s="7">
        <v>2025</v>
      </c>
      <c r="D594" s="7" t="s">
        <v>96</v>
      </c>
      <c r="E594" s="7" t="s">
        <v>34</v>
      </c>
      <c r="F594" s="7" t="s">
        <v>41</v>
      </c>
      <c r="G594" s="7">
        <v>1299</v>
      </c>
      <c r="H594" s="7">
        <v>35</v>
      </c>
      <c r="I594" s="7" t="s">
        <v>25</v>
      </c>
      <c r="J594" s="7">
        <v>1</v>
      </c>
      <c r="K594" s="7">
        <v>0</v>
      </c>
      <c r="L594" s="7">
        <v>2.9</v>
      </c>
      <c r="M594" t="str">
        <f t="shared" si="9"/>
        <v>medium risk</v>
      </c>
    </row>
    <row r="595" spans="1:13">
      <c r="A595" s="7" t="s">
        <v>938</v>
      </c>
      <c r="B595" s="9">
        <v>45912</v>
      </c>
      <c r="C595" s="7">
        <v>2025</v>
      </c>
      <c r="D595" s="7" t="s">
        <v>37</v>
      </c>
      <c r="E595" s="7" t="s">
        <v>34</v>
      </c>
      <c r="F595" s="7" t="s">
        <v>24</v>
      </c>
      <c r="G595" s="7">
        <v>377</v>
      </c>
      <c r="H595" s="7">
        <v>16</v>
      </c>
      <c r="I595" s="7" t="s">
        <v>25</v>
      </c>
      <c r="J595" s="7">
        <v>1</v>
      </c>
      <c r="K595" s="7">
        <v>0</v>
      </c>
      <c r="L595" s="7">
        <v>11.8</v>
      </c>
      <c r="M595" t="str">
        <f t="shared" si="9"/>
        <v>low risk</v>
      </c>
    </row>
    <row r="596" spans="1:13">
      <c r="A596" s="7" t="s">
        <v>939</v>
      </c>
      <c r="B596" s="9" t="s">
        <v>940</v>
      </c>
      <c r="C596" s="7">
        <v>2025</v>
      </c>
      <c r="D596" s="7" t="s">
        <v>68</v>
      </c>
      <c r="E596" s="7" t="s">
        <v>83</v>
      </c>
      <c r="F596" s="7" t="s">
        <v>24</v>
      </c>
      <c r="G596" s="7">
        <v>1132</v>
      </c>
      <c r="H596" s="7">
        <v>9</v>
      </c>
      <c r="I596" s="7" t="s">
        <v>25</v>
      </c>
      <c r="J596" s="7">
        <v>1</v>
      </c>
      <c r="K596" s="7">
        <v>0</v>
      </c>
      <c r="L596" s="7">
        <v>7.4</v>
      </c>
      <c r="M596" t="str">
        <f t="shared" si="9"/>
        <v>medium risk</v>
      </c>
    </row>
    <row r="597" spans="1:13">
      <c r="A597" s="7" t="s">
        <v>941</v>
      </c>
      <c r="B597" s="9">
        <v>46357</v>
      </c>
      <c r="C597" s="7">
        <v>2026</v>
      </c>
      <c r="D597" s="7" t="s">
        <v>107</v>
      </c>
      <c r="E597" s="7" t="s">
        <v>38</v>
      </c>
      <c r="F597" s="7" t="s">
        <v>24</v>
      </c>
      <c r="G597" s="7">
        <v>301</v>
      </c>
      <c r="H597" s="7">
        <v>12</v>
      </c>
      <c r="I597" s="7" t="s">
        <v>25</v>
      </c>
      <c r="J597" s="7">
        <v>1</v>
      </c>
      <c r="K597" s="7">
        <v>0</v>
      </c>
      <c r="L597" s="7">
        <v>-3.1</v>
      </c>
      <c r="M597" t="str">
        <f t="shared" si="9"/>
        <v>low risk</v>
      </c>
    </row>
    <row r="598" spans="1:13">
      <c r="A598" s="7" t="s">
        <v>942</v>
      </c>
      <c r="B598" s="9">
        <v>46205</v>
      </c>
      <c r="C598" s="7">
        <v>2026</v>
      </c>
      <c r="D598" s="7" t="s">
        <v>46</v>
      </c>
      <c r="E598" s="7" t="s">
        <v>83</v>
      </c>
      <c r="F598" s="7" t="s">
        <v>24</v>
      </c>
      <c r="G598" s="7">
        <v>219</v>
      </c>
      <c r="H598" s="7">
        <v>28</v>
      </c>
      <c r="I598" s="7" t="s">
        <v>25</v>
      </c>
      <c r="J598" s="7">
        <v>1</v>
      </c>
      <c r="K598" s="7">
        <v>0</v>
      </c>
      <c r="L598" s="7">
        <v>0.2</v>
      </c>
      <c r="M598" t="str">
        <f t="shared" si="9"/>
        <v>low risk</v>
      </c>
    </row>
    <row r="599" spans="1:13">
      <c r="A599" s="7" t="s">
        <v>943</v>
      </c>
      <c r="B599" s="9" t="s">
        <v>944</v>
      </c>
      <c r="C599" s="7">
        <v>2026</v>
      </c>
      <c r="D599" s="7" t="s">
        <v>96</v>
      </c>
      <c r="E599" s="7" t="s">
        <v>34</v>
      </c>
      <c r="F599" s="7" t="s">
        <v>41</v>
      </c>
      <c r="G599" s="7">
        <v>559</v>
      </c>
      <c r="H599" s="7">
        <v>20</v>
      </c>
      <c r="I599" s="7" t="s">
        <v>25</v>
      </c>
      <c r="J599" s="7">
        <v>1</v>
      </c>
      <c r="K599" s="7">
        <v>0</v>
      </c>
      <c r="L599" s="7">
        <v>-0.8</v>
      </c>
      <c r="M599" t="str">
        <f t="shared" si="9"/>
        <v>medium risk</v>
      </c>
    </row>
    <row r="600" spans="1:13">
      <c r="A600" s="7" t="s">
        <v>945</v>
      </c>
      <c r="B600" s="9">
        <v>46146</v>
      </c>
      <c r="C600" s="7">
        <v>2026</v>
      </c>
      <c r="D600" s="7" t="s">
        <v>33</v>
      </c>
      <c r="E600" s="7" t="s">
        <v>83</v>
      </c>
      <c r="F600" s="7" t="s">
        <v>41</v>
      </c>
      <c r="G600" s="7">
        <v>1109</v>
      </c>
      <c r="H600" s="7">
        <v>31</v>
      </c>
      <c r="I600" s="7" t="s">
        <v>25</v>
      </c>
      <c r="J600" s="7">
        <v>1</v>
      </c>
      <c r="K600" s="7">
        <v>0</v>
      </c>
      <c r="L600" s="7">
        <v>13</v>
      </c>
      <c r="M600" t="str">
        <f t="shared" si="9"/>
        <v>medium risk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28D8-6178-4C0E-B3A1-0EE5F9257FC9}">
  <dimension ref="A1:B23"/>
  <sheetViews>
    <sheetView workbookViewId="0">
      <selection activeCell="A9" sqref="A9"/>
    </sheetView>
  </sheetViews>
  <sheetFormatPr defaultRowHeight="15"/>
  <cols>
    <col min="1" max="1" width="19" bestFit="1" customWidth="1"/>
    <col min="2" max="2" width="14.85546875" bestFit="1" customWidth="1"/>
  </cols>
  <sheetData>
    <row r="1" spans="1:2">
      <c r="A1" s="6" t="s">
        <v>11</v>
      </c>
      <c r="B1" t="s">
        <v>946</v>
      </c>
    </row>
    <row r="2" spans="1:2">
      <c r="A2" t="s">
        <v>144</v>
      </c>
      <c r="B2" s="1">
        <v>17</v>
      </c>
    </row>
    <row r="3" spans="1:2">
      <c r="A3" t="s">
        <v>174</v>
      </c>
      <c r="B3" s="1">
        <v>27</v>
      </c>
    </row>
    <row r="4" spans="1:2">
      <c r="A4" t="s">
        <v>115</v>
      </c>
      <c r="B4" s="1">
        <v>31</v>
      </c>
    </row>
    <row r="5" spans="1:2">
      <c r="A5" t="s">
        <v>44</v>
      </c>
      <c r="B5" s="1">
        <v>26</v>
      </c>
    </row>
    <row r="6" spans="1:2">
      <c r="A6" t="s">
        <v>22</v>
      </c>
      <c r="B6" s="1">
        <v>38</v>
      </c>
    </row>
    <row r="7" spans="1:2">
      <c r="A7" t="s">
        <v>68</v>
      </c>
      <c r="B7" s="1">
        <v>29</v>
      </c>
    </row>
    <row r="8" spans="1:2">
      <c r="A8" t="s">
        <v>194</v>
      </c>
      <c r="B8" s="1">
        <v>19</v>
      </c>
    </row>
    <row r="9" spans="1:2">
      <c r="A9" t="s">
        <v>51</v>
      </c>
      <c r="B9" s="1">
        <v>29</v>
      </c>
    </row>
    <row r="10" spans="1:2">
      <c r="A10" t="s">
        <v>107</v>
      </c>
      <c r="B10" s="1">
        <v>21</v>
      </c>
    </row>
    <row r="11" spans="1:2">
      <c r="A11" t="s">
        <v>33</v>
      </c>
      <c r="B11" s="1">
        <v>38</v>
      </c>
    </row>
    <row r="12" spans="1:2">
      <c r="A12" t="s">
        <v>75</v>
      </c>
      <c r="B12" s="1">
        <v>27</v>
      </c>
    </row>
    <row r="13" spans="1:2">
      <c r="A13" t="s">
        <v>66</v>
      </c>
      <c r="B13" s="1">
        <v>30</v>
      </c>
    </row>
    <row r="14" spans="1:2">
      <c r="A14" t="s">
        <v>101</v>
      </c>
      <c r="B14" s="1">
        <v>31</v>
      </c>
    </row>
    <row r="15" spans="1:2">
      <c r="A15" t="s">
        <v>96</v>
      </c>
      <c r="B15" s="1">
        <v>27</v>
      </c>
    </row>
    <row r="16" spans="1:2">
      <c r="A16" t="s">
        <v>40</v>
      </c>
      <c r="B16" s="1">
        <v>27</v>
      </c>
    </row>
    <row r="17" spans="1:2">
      <c r="A17" t="s">
        <v>28</v>
      </c>
      <c r="B17" s="1">
        <v>40</v>
      </c>
    </row>
    <row r="18" spans="1:2">
      <c r="A18" t="s">
        <v>156</v>
      </c>
      <c r="B18" s="1">
        <v>28</v>
      </c>
    </row>
    <row r="19" spans="1:2">
      <c r="A19" t="s">
        <v>58</v>
      </c>
      <c r="B19" s="1">
        <v>28</v>
      </c>
    </row>
    <row r="20" spans="1:2">
      <c r="A20" t="s">
        <v>112</v>
      </c>
      <c r="B20" s="1">
        <v>23</v>
      </c>
    </row>
    <row r="21" spans="1:2">
      <c r="A21" t="s">
        <v>37</v>
      </c>
      <c r="B21" s="1">
        <v>30</v>
      </c>
    </row>
    <row r="22" spans="1:2">
      <c r="A22" t="s">
        <v>46</v>
      </c>
      <c r="B22" s="1">
        <v>33</v>
      </c>
    </row>
    <row r="23" spans="1:2">
      <c r="A23" t="s">
        <v>947</v>
      </c>
      <c r="B23" s="1">
        <v>599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18F3E-26DE-42F4-B133-88A1F4B8204D}">
  <dimension ref="A1:B4"/>
  <sheetViews>
    <sheetView workbookViewId="0">
      <selection sqref="A1:B3"/>
    </sheetView>
  </sheetViews>
  <sheetFormatPr defaultRowHeight="15"/>
  <cols>
    <col min="1" max="1" width="11.140625" bestFit="1" customWidth="1"/>
    <col min="2" max="2" width="14.85546875" bestFit="1" customWidth="1"/>
  </cols>
  <sheetData>
    <row r="1" spans="1:2">
      <c r="A1" s="6" t="s">
        <v>13</v>
      </c>
      <c r="B1" t="s">
        <v>946</v>
      </c>
    </row>
    <row r="2" spans="1:2">
      <c r="A2" t="s">
        <v>24</v>
      </c>
      <c r="B2" s="1">
        <v>273</v>
      </c>
    </row>
    <row r="3" spans="1:2">
      <c r="A3" t="s">
        <v>41</v>
      </c>
      <c r="B3" s="1">
        <v>326</v>
      </c>
    </row>
    <row r="4" spans="1:2">
      <c r="A4" t="s">
        <v>947</v>
      </c>
      <c r="B4" s="1">
        <v>599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9562-0790-46EF-81E8-F6ACC02E1CA8}">
  <dimension ref="A1:B12"/>
  <sheetViews>
    <sheetView workbookViewId="0">
      <selection activeCell="K8" sqref="K8"/>
    </sheetView>
  </sheetViews>
  <sheetFormatPr defaultRowHeight="15"/>
  <cols>
    <col min="1" max="1" width="15.5703125" bestFit="1" customWidth="1"/>
    <col min="2" max="2" width="20.140625" bestFit="1" customWidth="1"/>
  </cols>
  <sheetData>
    <row r="1" spans="1:2">
      <c r="A1" s="6" t="s">
        <v>12</v>
      </c>
      <c r="B1" t="s">
        <v>948</v>
      </c>
    </row>
    <row r="2" spans="1:2">
      <c r="A2" t="s">
        <v>47</v>
      </c>
      <c r="B2" s="1">
        <v>0.80597014925373134</v>
      </c>
    </row>
    <row r="3" spans="1:2">
      <c r="A3" t="s">
        <v>63</v>
      </c>
      <c r="B3" s="1">
        <v>0.65217391304347827</v>
      </c>
    </row>
    <row r="4" spans="1:2">
      <c r="A4" t="s">
        <v>76</v>
      </c>
      <c r="B4" s="1">
        <v>0.52702702702702697</v>
      </c>
    </row>
    <row r="5" spans="1:2">
      <c r="A5" t="s">
        <v>38</v>
      </c>
      <c r="B5" s="1">
        <v>0.74576271186440679</v>
      </c>
    </row>
    <row r="6" spans="1:2">
      <c r="A6" t="s">
        <v>29</v>
      </c>
      <c r="B6" s="1">
        <v>0.61702127659574468</v>
      </c>
    </row>
    <row r="7" spans="1:2">
      <c r="A7" t="s">
        <v>23</v>
      </c>
      <c r="B7" s="1">
        <v>0.27419354838709675</v>
      </c>
    </row>
    <row r="8" spans="1:2">
      <c r="A8" t="s">
        <v>34</v>
      </c>
      <c r="B8" s="1">
        <v>0.35</v>
      </c>
    </row>
    <row r="9" spans="1:2">
      <c r="A9" t="s">
        <v>78</v>
      </c>
      <c r="B9" s="1">
        <v>0.41176470588235292</v>
      </c>
    </row>
    <row r="10" spans="1:2">
      <c r="A10" t="s">
        <v>83</v>
      </c>
      <c r="B10" s="1">
        <v>0.55319148936170215</v>
      </c>
    </row>
    <row r="11" spans="1:2">
      <c r="A11" t="s">
        <v>54</v>
      </c>
      <c r="B11" s="1">
        <v>0.78260869565217395</v>
      </c>
    </row>
    <row r="12" spans="1:2">
      <c r="A12" t="s">
        <v>947</v>
      </c>
      <c r="B12" s="1">
        <v>0.52086811352253759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C049-3740-44A3-854F-C232CCE85C14}">
  <dimension ref="A25:B31"/>
  <sheetViews>
    <sheetView topLeftCell="A7" workbookViewId="0">
      <selection activeCell="B26" sqref="B26"/>
    </sheetView>
  </sheetViews>
  <sheetFormatPr defaultRowHeight="15"/>
  <cols>
    <col min="1" max="1" width="18.140625" bestFit="1" customWidth="1"/>
    <col min="2" max="2" width="20.28515625" customWidth="1"/>
  </cols>
  <sheetData>
    <row r="25" spans="1:2" ht="15.75">
      <c r="A25" s="13" t="s">
        <v>949</v>
      </c>
      <c r="B25" s="14">
        <f>COUNTA(Sheet12!A2:A600)</f>
        <v>599</v>
      </c>
    </row>
    <row r="26" spans="1:2" ht="15.75">
      <c r="A26" s="13" t="s">
        <v>950</v>
      </c>
      <c r="B26" s="14">
        <f>AVERAGE(Sheet12!J2:J600)</f>
        <v>0.52086811352253759</v>
      </c>
    </row>
    <row r="27" spans="1:2" ht="15.75">
      <c r="A27" s="13" t="s">
        <v>951</v>
      </c>
      <c r="B27" s="15" cm="1">
        <f t="array" ref="B27">SUMPRODUCT(1/COUNTIF(Sheet12!D2:D600,Sheet12!D2:D600))</f>
        <v>21.00000000000011</v>
      </c>
    </row>
    <row r="28" spans="1:2">
      <c r="A28" s="13" t="s">
        <v>952</v>
      </c>
      <c r="B28" t="s">
        <v>101</v>
      </c>
    </row>
    <row r="29" spans="1:2">
      <c r="A29" s="13" t="s">
        <v>953</v>
      </c>
      <c r="B29" s="5">
        <f>_xlfn.XLOOKUP(B28,Sheet13!A2:A23,Sheet13!B2:B23)</f>
        <v>31</v>
      </c>
    </row>
    <row r="31" spans="1:2" ht="13.5" customHeight="1"/>
  </sheetData>
  <conditionalFormatting sqref="B26">
    <cfRule type="cellIs" dxfId="1" priority="2" operator="greaterThan">
      <formula>0.6</formula>
    </cfRule>
  </conditionalFormatting>
  <conditionalFormatting sqref="B26">
    <cfRule type="cellIs" dxfId="0" priority="1" operator="greaterThan">
      <formula>0.4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6E960E-2513-47B7-8A23-4833463EE14C}">
          <x14:formula1>
            <xm:f>Sheet13!$A$2:$A$22</xm:f>
          </x14:formula1>
          <xm:sqref>B28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2025-09-07T10:25:02Z</dcterms:created>
  <dcterms:modified xsi:type="dcterms:W3CDTF">2026-07-01T04:54:41Z</dcterms:modified>
  <cp:category/>
  <cp:contentStatus/>
</cp:coreProperties>
</file>